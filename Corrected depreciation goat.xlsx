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60" windowWidth="22980" windowHeight="9528" firstSheet="3" activeTab="8"/>
  </bookViews>
  <sheets>
    <sheet name="Front page" sheetId="1" r:id="rId1"/>
    <sheet name="Project at a glance" sheetId="2" r:id="rId2"/>
    <sheet name="Techno Economic Parameters" sheetId="3" r:id="rId3"/>
    <sheet name="Investment" sheetId="4" r:id="rId4"/>
    <sheet name="Production Chart" sheetId="5" r:id="rId5"/>
    <sheet name="Expenditure Income " sheetId="6" r:id="rId6"/>
    <sheet name="Cash flow" sheetId="7" r:id="rId7"/>
    <sheet name="Repayment" sheetId="8" r:id="rId8"/>
    <sheet name="Depreciation" sheetId="9" r:id="rId9"/>
    <sheet name="Financial Analysis" sheetId="10" r:id="rId10"/>
  </sheets>
  <calcPr calcId="125725"/>
</workbook>
</file>

<file path=xl/calcChain.xml><?xml version="1.0" encoding="utf-8"?>
<calcChain xmlns="http://schemas.openxmlformats.org/spreadsheetml/2006/main">
  <c r="D11" i="10"/>
  <c r="D6" i="8"/>
  <c r="D5"/>
  <c r="D4"/>
  <c r="H10"/>
  <c r="K9"/>
  <c r="K10" s="1"/>
  <c r="H9"/>
  <c r="H11" s="1"/>
  <c r="B11"/>
  <c r="D7"/>
  <c r="F10"/>
  <c r="D26" i="6"/>
  <c r="E26"/>
  <c r="F26"/>
  <c r="G26"/>
  <c r="H26"/>
  <c r="I26"/>
  <c r="C26"/>
  <c r="D16"/>
  <c r="E16"/>
  <c r="F16"/>
  <c r="G16"/>
  <c r="H16"/>
  <c r="I16"/>
  <c r="C16"/>
  <c r="D14"/>
  <c r="E14"/>
  <c r="F14"/>
  <c r="G14"/>
  <c r="H14"/>
  <c r="I14"/>
  <c r="C14"/>
  <c r="D13"/>
  <c r="E13"/>
  <c r="F13"/>
  <c r="G13"/>
  <c r="H13"/>
  <c r="I13"/>
  <c r="C13"/>
  <c r="C36" i="4"/>
  <c r="D12" i="6" s="1"/>
  <c r="D10"/>
  <c r="E10"/>
  <c r="F10"/>
  <c r="G10"/>
  <c r="H10"/>
  <c r="I10"/>
  <c r="C10"/>
  <c r="D9"/>
  <c r="E9"/>
  <c r="F9"/>
  <c r="G9"/>
  <c r="H9"/>
  <c r="I9"/>
  <c r="C9"/>
  <c r="C8"/>
  <c r="C32" i="4"/>
  <c r="G8" i="6" s="1"/>
  <c r="D10" i="5"/>
  <c r="E10" s="1"/>
  <c r="F10" s="1"/>
  <c r="G10" s="1"/>
  <c r="H10" s="1"/>
  <c r="I10" s="1"/>
  <c r="J10" s="1"/>
  <c r="C10"/>
  <c r="C9"/>
  <c r="D9" s="1"/>
  <c r="E9" s="1"/>
  <c r="F9" s="1"/>
  <c r="G9" s="1"/>
  <c r="H9" s="1"/>
  <c r="I9" s="1"/>
  <c r="J9" s="1"/>
  <c r="C8"/>
  <c r="C7"/>
  <c r="C40" i="4"/>
  <c r="C39"/>
  <c r="F15" i="6" s="1"/>
  <c r="C38" i="4"/>
  <c r="C37"/>
  <c r="C35"/>
  <c r="C34"/>
  <c r="C33"/>
  <c r="C31"/>
  <c r="C7" i="6" s="1"/>
  <c r="C25" i="4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27" i="2"/>
  <c r="C26"/>
  <c r="E20" i="10"/>
  <c r="E21"/>
  <c r="E22"/>
  <c r="E23"/>
  <c r="E24"/>
  <c r="E25"/>
  <c r="E19"/>
  <c r="E7"/>
  <c r="E8"/>
  <c r="E9"/>
  <c r="E10"/>
  <c r="E11"/>
  <c r="E12"/>
  <c r="E6"/>
  <c r="B12" i="8" l="1"/>
  <c r="F11"/>
  <c r="E6"/>
  <c r="E5"/>
  <c r="E11" s="1"/>
  <c r="D8"/>
  <c r="C11" i="5"/>
  <c r="C30" i="4"/>
  <c r="I8" i="6"/>
  <c r="D8"/>
  <c r="B4" i="9"/>
  <c r="E4"/>
  <c r="H15" i="6"/>
  <c r="C13" i="5"/>
  <c r="C14" s="1"/>
  <c r="D14" s="1"/>
  <c r="E14" s="1"/>
  <c r="F14" s="1"/>
  <c r="G14" s="1"/>
  <c r="H14" s="1"/>
  <c r="I14" s="1"/>
  <c r="J14" s="1"/>
  <c r="E8" i="6"/>
  <c r="C12"/>
  <c r="E12"/>
  <c r="I15"/>
  <c r="D15"/>
  <c r="F8"/>
  <c r="F12"/>
  <c r="E15"/>
  <c r="H8"/>
  <c r="G12"/>
  <c r="G15"/>
  <c r="I12"/>
  <c r="F6"/>
  <c r="C6"/>
  <c r="E6"/>
  <c r="I6"/>
  <c r="D6"/>
  <c r="H6"/>
  <c r="G6"/>
  <c r="C12" i="5"/>
  <c r="D12" s="1"/>
  <c r="E12" s="1"/>
  <c r="F12" s="1"/>
  <c r="G12" s="1"/>
  <c r="H12" s="1"/>
  <c r="I12" s="1"/>
  <c r="J12" s="1"/>
  <c r="D11"/>
  <c r="E11" s="1"/>
  <c r="F11" s="1"/>
  <c r="G11" s="1"/>
  <c r="H11" s="1"/>
  <c r="I11" s="1"/>
  <c r="J11" s="1"/>
  <c r="C15"/>
  <c r="D13"/>
  <c r="E13" s="1"/>
  <c r="F13" s="1"/>
  <c r="G13" s="1"/>
  <c r="H13" s="1"/>
  <c r="I13" s="1"/>
  <c r="J13" s="1"/>
  <c r="C16"/>
  <c r="H12" i="6"/>
  <c r="C15"/>
  <c r="D11"/>
  <c r="E11"/>
  <c r="F11"/>
  <c r="G11"/>
  <c r="H11"/>
  <c r="I11"/>
  <c r="C11"/>
  <c r="C11" i="8" l="1"/>
  <c r="E12"/>
  <c r="C12" s="1"/>
  <c r="F12"/>
  <c r="B13"/>
  <c r="D16" i="5"/>
  <c r="E16" s="1"/>
  <c r="F16" s="1"/>
  <c r="G16" s="1"/>
  <c r="H16" s="1"/>
  <c r="I16" s="1"/>
  <c r="J16" s="1"/>
  <c r="C20"/>
  <c r="D20" s="1"/>
  <c r="E20" s="1"/>
  <c r="F20" s="1"/>
  <c r="G20" s="1"/>
  <c r="H20" s="1"/>
  <c r="I20" s="1"/>
  <c r="J20" s="1"/>
  <c r="C19"/>
  <c r="D19" s="1"/>
  <c r="D15"/>
  <c r="E15" s="1"/>
  <c r="F15" s="1"/>
  <c r="G15" s="1"/>
  <c r="H15" s="1"/>
  <c r="I15" s="1"/>
  <c r="J15" s="1"/>
  <c r="C17"/>
  <c r="D17" s="1"/>
  <c r="C18"/>
  <c r="D18" s="1"/>
  <c r="C45" i="4"/>
  <c r="C18" i="2" s="1"/>
  <c r="F4" i="9"/>
  <c r="C19" i="6" s="1"/>
  <c r="C27" i="4"/>
  <c r="E13" i="8" l="1"/>
  <c r="C13" s="1"/>
  <c r="F13"/>
  <c r="B14"/>
  <c r="E25" i="6"/>
  <c r="I25"/>
  <c r="I29" s="1"/>
  <c r="I6" i="7" s="1"/>
  <c r="D12" i="10" s="1"/>
  <c r="E18" i="5"/>
  <c r="F18" s="1"/>
  <c r="G18" s="1"/>
  <c r="H18" s="1"/>
  <c r="I18" s="1"/>
  <c r="J18" s="1"/>
  <c r="D25" i="6"/>
  <c r="H25"/>
  <c r="G25"/>
  <c r="F25"/>
  <c r="C25"/>
  <c r="E19" i="5"/>
  <c r="F19" s="1"/>
  <c r="G19" s="1"/>
  <c r="H19" s="1"/>
  <c r="I19" s="1"/>
  <c r="J19" s="1"/>
  <c r="E27" i="6"/>
  <c r="I27"/>
  <c r="D27"/>
  <c r="H27"/>
  <c r="C27"/>
  <c r="G27"/>
  <c r="F27"/>
  <c r="E17" i="5"/>
  <c r="F17" s="1"/>
  <c r="G17" s="1"/>
  <c r="H17" s="1"/>
  <c r="I17" s="1"/>
  <c r="J17" s="1"/>
  <c r="G24" i="6"/>
  <c r="G29" s="1"/>
  <c r="G6" i="7" s="1"/>
  <c r="D10" i="10" s="1"/>
  <c r="G10" s="1"/>
  <c r="F24" i="6"/>
  <c r="F29" s="1"/>
  <c r="F6" i="7" s="1"/>
  <c r="D9" i="10" s="1"/>
  <c r="E24" i="6"/>
  <c r="I24"/>
  <c r="C24"/>
  <c r="C29" s="1"/>
  <c r="C6" i="7" s="1"/>
  <c r="D6" i="10" s="1"/>
  <c r="G6" s="1"/>
  <c r="D24" i="6"/>
  <c r="D29" s="1"/>
  <c r="D6" i="7" s="1"/>
  <c r="D7" i="10" s="1"/>
  <c r="G7" s="1"/>
  <c r="H24" i="6"/>
  <c r="H29" s="1"/>
  <c r="H6" i="7" s="1"/>
  <c r="C46" i="4"/>
  <c r="C19" i="2" s="1"/>
  <c r="C17"/>
  <c r="C4" i="9"/>
  <c r="C18" i="6" s="1"/>
  <c r="C11" i="7" s="1"/>
  <c r="G4" i="9"/>
  <c r="E5" s="1"/>
  <c r="E14" i="8" l="1"/>
  <c r="C14" s="1"/>
  <c r="F14"/>
  <c r="B15"/>
  <c r="E29" i="6"/>
  <c r="E6" i="7" s="1"/>
  <c r="D8" i="10" s="1"/>
  <c r="C50" i="4"/>
  <c r="C49" s="1"/>
  <c r="C21" i="2" s="1"/>
  <c r="C52" i="4"/>
  <c r="C23" i="2" s="1"/>
  <c r="G8" i="10"/>
  <c r="G9"/>
  <c r="G12"/>
  <c r="D4" i="9"/>
  <c r="B5" s="1"/>
  <c r="F5"/>
  <c r="D19" i="6" s="1"/>
  <c r="E15" i="8" l="1"/>
  <c r="C15" s="1"/>
  <c r="B16"/>
  <c r="F15"/>
  <c r="C22" i="2"/>
  <c r="C51" i="4"/>
  <c r="C5" i="9"/>
  <c r="D18" i="6" s="1"/>
  <c r="D11" i="7" s="1"/>
  <c r="G5" i="9"/>
  <c r="E6" s="1"/>
  <c r="F16" i="8" l="1"/>
  <c r="B17"/>
  <c r="E16"/>
  <c r="C16" s="1"/>
  <c r="D5" i="9"/>
  <c r="B6" s="1"/>
  <c r="C6" s="1"/>
  <c r="E18" i="6" s="1"/>
  <c r="F6" i="9"/>
  <c r="E19" i="6" s="1"/>
  <c r="I9" i="8" l="1"/>
  <c r="F17"/>
  <c r="B18"/>
  <c r="E17"/>
  <c r="E11" i="7"/>
  <c r="D6" i="9"/>
  <c r="B7" s="1"/>
  <c r="C7" s="1"/>
  <c r="F18" i="6" s="1"/>
  <c r="G6" i="9"/>
  <c r="E7" s="1"/>
  <c r="J9" i="8" l="1"/>
  <c r="C17"/>
  <c r="F18"/>
  <c r="B19"/>
  <c r="E18"/>
  <c r="C18" s="1"/>
  <c r="D7" i="9"/>
  <c r="B8" s="1"/>
  <c r="F7"/>
  <c r="F19" i="6" s="1"/>
  <c r="F11" i="7" s="1"/>
  <c r="B20" i="8" l="1"/>
  <c r="F19"/>
  <c r="E19"/>
  <c r="C19" s="1"/>
  <c r="C8" i="9"/>
  <c r="G18" i="6" s="1"/>
  <c r="G7" i="9"/>
  <c r="E8" s="1"/>
  <c r="B21" i="8" l="1"/>
  <c r="E20"/>
  <c r="F20"/>
  <c r="D8" i="9"/>
  <c r="B9" s="1"/>
  <c r="C9" s="1"/>
  <c r="H18" i="6" s="1"/>
  <c r="F8" i="9"/>
  <c r="G19" i="6" s="1"/>
  <c r="G11" i="7" s="1"/>
  <c r="C20" i="8" l="1"/>
  <c r="B22"/>
  <c r="E21"/>
  <c r="C21" s="1"/>
  <c r="F21"/>
  <c r="D9" i="9"/>
  <c r="B10" s="1"/>
  <c r="C10" s="1"/>
  <c r="I18" i="6" s="1"/>
  <c r="G8" i="9"/>
  <c r="E9" s="1"/>
  <c r="B23" i="8" l="1"/>
  <c r="E22"/>
  <c r="C22" s="1"/>
  <c r="F22"/>
  <c r="D10" i="9"/>
  <c r="F9"/>
  <c r="H19" i="6" s="1"/>
  <c r="H11" i="7" s="1"/>
  <c r="B24" i="8" l="1"/>
  <c r="C23"/>
  <c r="E23"/>
  <c r="I10"/>
  <c r="G9" i="9"/>
  <c r="E10" s="1"/>
  <c r="D23" i="8" l="1"/>
  <c r="F23" s="1"/>
  <c r="C24" s="1"/>
  <c r="B25"/>
  <c r="J10"/>
  <c r="J11" s="1"/>
  <c r="I11"/>
  <c r="F10" i="9"/>
  <c r="I19" i="6" s="1"/>
  <c r="I11" i="7" s="1"/>
  <c r="D24" i="8" l="1"/>
  <c r="E24"/>
  <c r="B26"/>
  <c r="G10" i="9"/>
  <c r="F24" i="8" l="1"/>
  <c r="B27"/>
  <c r="C17" i="6"/>
  <c r="C21" s="1"/>
  <c r="E25" i="8" l="1"/>
  <c r="C25"/>
  <c r="D25" s="1"/>
  <c r="B28"/>
  <c r="D31" i="10"/>
  <c r="C10" i="7"/>
  <c r="C12" s="1"/>
  <c r="B29" i="8" l="1"/>
  <c r="F25"/>
  <c r="C5" i="7"/>
  <c r="C31" i="6"/>
  <c r="B30" i="8" l="1"/>
  <c r="C26"/>
  <c r="D26" s="1"/>
  <c r="F26" s="1"/>
  <c r="E26"/>
  <c r="C14" i="7"/>
  <c r="C6" i="10"/>
  <c r="C15" i="7"/>
  <c r="C31" i="10" s="1"/>
  <c r="E31" s="1"/>
  <c r="C7" i="7"/>
  <c r="C27" i="8" l="1"/>
  <c r="D27" s="1"/>
  <c r="F27" s="1"/>
  <c r="E27"/>
  <c r="B31"/>
  <c r="F6" i="10"/>
  <c r="C19"/>
  <c r="C28" i="8" l="1"/>
  <c r="D28" s="1"/>
  <c r="H13" s="1"/>
  <c r="E28"/>
  <c r="I13" s="1"/>
  <c r="B32"/>
  <c r="F19" i="10"/>
  <c r="D19"/>
  <c r="J13" i="8" l="1"/>
  <c r="K13"/>
  <c r="B33"/>
  <c r="F28"/>
  <c r="C29" l="1"/>
  <c r="D29" s="1"/>
  <c r="E29"/>
  <c r="B34"/>
  <c r="B35" l="1"/>
  <c r="F29"/>
  <c r="E30" l="1"/>
  <c r="C30"/>
  <c r="D30" s="1"/>
  <c r="B36"/>
  <c r="F30" l="1"/>
  <c r="B37"/>
  <c r="C31" l="1"/>
  <c r="D31" s="1"/>
  <c r="E31"/>
  <c r="B38"/>
  <c r="F31" l="1"/>
  <c r="B39"/>
  <c r="C32" l="1"/>
  <c r="D32" s="1"/>
  <c r="E32"/>
  <c r="B40"/>
  <c r="F32" l="1"/>
  <c r="B41"/>
  <c r="E33" l="1"/>
  <c r="C33"/>
  <c r="B42"/>
  <c r="D33" l="1"/>
  <c r="F33" s="1"/>
  <c r="B43"/>
  <c r="C34" l="1"/>
  <c r="D34" s="1"/>
  <c r="F34" s="1"/>
  <c r="E34"/>
  <c r="B44"/>
  <c r="E35" l="1"/>
  <c r="C35"/>
  <c r="B45"/>
  <c r="D17" i="6"/>
  <c r="I14" i="8"/>
  <c r="I15" s="1"/>
  <c r="H14"/>
  <c r="D21" i="6" l="1"/>
  <c r="D10" i="7"/>
  <c r="D12" s="1"/>
  <c r="B46" i="8"/>
  <c r="J14"/>
  <c r="J15" s="1"/>
  <c r="H15"/>
  <c r="K14"/>
  <c r="D35"/>
  <c r="D32" i="10"/>
  <c r="F35" i="8" l="1"/>
  <c r="D31" i="6"/>
  <c r="D5" i="7"/>
  <c r="B47" i="8"/>
  <c r="C7" i="10" l="1"/>
  <c r="D14" i="7"/>
  <c r="D15"/>
  <c r="C32" i="10" s="1"/>
  <c r="E32" s="1"/>
  <c r="D7" i="7"/>
  <c r="E36" i="8"/>
  <c r="C36"/>
  <c r="B48"/>
  <c r="D36" l="1"/>
  <c r="F36" s="1"/>
  <c r="C20" i="10"/>
  <c r="F7"/>
  <c r="B49" i="8"/>
  <c r="B50" l="1"/>
  <c r="D20" i="10"/>
  <c r="F20"/>
  <c r="C37" i="8"/>
  <c r="E37"/>
  <c r="B51" l="1"/>
  <c r="D37"/>
  <c r="B52" l="1"/>
  <c r="F37"/>
  <c r="B53" l="1"/>
  <c r="C38"/>
  <c r="D38" s="1"/>
  <c r="E38"/>
  <c r="B54" l="1"/>
  <c r="F38"/>
  <c r="B55" l="1"/>
  <c r="E39"/>
  <c r="C39"/>
  <c r="D39" s="1"/>
  <c r="F39" s="1"/>
  <c r="C40" l="1"/>
  <c r="D40" s="1"/>
  <c r="H17" s="1"/>
  <c r="E40"/>
  <c r="I17" s="1"/>
  <c r="B56"/>
  <c r="J17" l="1"/>
  <c r="K17"/>
  <c r="F40"/>
  <c r="B57"/>
  <c r="C41" l="1"/>
  <c r="D41" s="1"/>
  <c r="E41"/>
  <c r="B58"/>
  <c r="F41" l="1"/>
  <c r="B59"/>
  <c r="E42" l="1"/>
  <c r="C42"/>
  <c r="B60"/>
  <c r="B61" l="1"/>
  <c r="D42"/>
  <c r="B62" l="1"/>
  <c r="F42"/>
  <c r="E43" l="1"/>
  <c r="C43"/>
  <c r="B63"/>
  <c r="D43" l="1"/>
  <c r="B64"/>
  <c r="F43" l="1"/>
  <c r="B65"/>
  <c r="B66" l="1"/>
  <c r="E44"/>
  <c r="C44"/>
  <c r="D44" l="1"/>
  <c r="F44" s="1"/>
  <c r="B67"/>
  <c r="B68" l="1"/>
  <c r="C45"/>
  <c r="D45" s="1"/>
  <c r="F45" s="1"/>
  <c r="E45"/>
  <c r="E46" l="1"/>
  <c r="C46"/>
  <c r="B69"/>
  <c r="D46" l="1"/>
  <c r="F46" s="1"/>
  <c r="C47" s="1"/>
  <c r="B70"/>
  <c r="E17" i="6"/>
  <c r="I18" i="8"/>
  <c r="I19" s="1"/>
  <c r="H18" l="1"/>
  <c r="H19" s="1"/>
  <c r="E47"/>
  <c r="D47" s="1"/>
  <c r="E21" i="6"/>
  <c r="E10" i="7"/>
  <c r="E12" s="1"/>
  <c r="B71" i="8"/>
  <c r="D33" i="10"/>
  <c r="K18" i="8" l="1"/>
  <c r="J18"/>
  <c r="J19" s="1"/>
  <c r="B72"/>
  <c r="F47"/>
  <c r="E31" i="6"/>
  <c r="E5" i="7"/>
  <c r="B73" i="8" l="1"/>
  <c r="E48"/>
  <c r="C48"/>
  <c r="D48" s="1"/>
  <c r="F48" s="1"/>
  <c r="C8" i="10"/>
  <c r="E14" i="7"/>
  <c r="E7"/>
  <c r="E15"/>
  <c r="C33" i="10" s="1"/>
  <c r="E33" s="1"/>
  <c r="E49" i="8" l="1"/>
  <c r="C49"/>
  <c r="C21" i="10"/>
  <c r="F8"/>
  <c r="B74" i="8"/>
  <c r="D49" l="1"/>
  <c r="B75"/>
  <c r="D21" i="10"/>
  <c r="F21"/>
  <c r="F49" i="8" l="1"/>
  <c r="B76"/>
  <c r="C50" l="1"/>
  <c r="D50" s="1"/>
  <c r="F50" s="1"/>
  <c r="E50"/>
  <c r="B77"/>
  <c r="E51" l="1"/>
  <c r="C51"/>
  <c r="D51" s="1"/>
  <c r="B78"/>
  <c r="B79" l="1"/>
  <c r="F51"/>
  <c r="B80" l="1"/>
  <c r="C52"/>
  <c r="D52" s="1"/>
  <c r="H21" s="1"/>
  <c r="E52"/>
  <c r="I21" s="1"/>
  <c r="J21" l="1"/>
  <c r="K21"/>
  <c r="B81"/>
  <c r="F52"/>
  <c r="E53" l="1"/>
  <c r="C53"/>
  <c r="B82"/>
  <c r="D53" l="1"/>
  <c r="B83"/>
  <c r="F53" l="1"/>
  <c r="B84"/>
  <c r="E54" l="1"/>
  <c r="C54"/>
  <c r="B85"/>
  <c r="D54" l="1"/>
  <c r="F54" s="1"/>
  <c r="B86"/>
  <c r="E55" l="1"/>
  <c r="C55"/>
  <c r="B87"/>
  <c r="D55" l="1"/>
  <c r="B88"/>
  <c r="F55" l="1"/>
  <c r="B89"/>
  <c r="B90" l="1"/>
  <c r="E56"/>
  <c r="C56"/>
  <c r="D56" s="1"/>
  <c r="B91" l="1"/>
  <c r="F56"/>
  <c r="B92" l="1"/>
  <c r="E57"/>
  <c r="C57"/>
  <c r="B93" l="1"/>
  <c r="D57"/>
  <c r="F57" s="1"/>
  <c r="B94" l="1"/>
  <c r="C58"/>
  <c r="D58" s="1"/>
  <c r="E58"/>
  <c r="D34" i="10" l="1"/>
  <c r="H22" i="8"/>
  <c r="F58"/>
  <c r="F17" i="6"/>
  <c r="I22" i="8"/>
  <c r="I23" s="1"/>
  <c r="J22" l="1"/>
  <c r="J23" s="1"/>
  <c r="H23"/>
  <c r="K22"/>
  <c r="E59"/>
  <c r="C59"/>
  <c r="D59" s="1"/>
  <c r="F21" i="6"/>
  <c r="F10" i="7"/>
  <c r="F12" s="1"/>
  <c r="F31" i="6" l="1"/>
  <c r="F5" i="7"/>
  <c r="F59" i="8"/>
  <c r="C60" l="1"/>
  <c r="D60" s="1"/>
  <c r="E60"/>
  <c r="F14" i="7"/>
  <c r="F15"/>
  <c r="C34" i="10" s="1"/>
  <c r="E34" s="1"/>
  <c r="F7" i="7"/>
  <c r="C9" i="10"/>
  <c r="F60" i="8" l="1"/>
  <c r="C22" i="10"/>
  <c r="F9"/>
  <c r="C61" i="8" l="1"/>
  <c r="D61" s="1"/>
  <c r="F61" s="1"/>
  <c r="E61"/>
  <c r="F22" i="10"/>
  <c r="D22"/>
  <c r="E62" i="8" l="1"/>
  <c r="C62"/>
  <c r="D62" l="1"/>
  <c r="F62" l="1"/>
  <c r="E63" l="1"/>
  <c r="C63"/>
  <c r="D63" l="1"/>
  <c r="F63" s="1"/>
  <c r="C64" s="1"/>
  <c r="E64" l="1"/>
  <c r="I25" s="1"/>
  <c r="D64" l="1"/>
  <c r="F64" s="1"/>
  <c r="H25" l="1"/>
  <c r="K25" s="1"/>
  <c r="E65"/>
  <c r="C65"/>
  <c r="J25" l="1"/>
  <c r="D65"/>
  <c r="F65" s="1"/>
  <c r="C66" l="1"/>
  <c r="D66" s="1"/>
  <c r="F66" s="1"/>
  <c r="E66"/>
  <c r="C67" l="1"/>
  <c r="D67" s="1"/>
  <c r="E67"/>
  <c r="F67" l="1"/>
  <c r="E68" l="1"/>
  <c r="C68"/>
  <c r="D68" l="1"/>
  <c r="F68" s="1"/>
  <c r="E69" s="1"/>
  <c r="C69" l="1"/>
  <c r="D69" s="1"/>
  <c r="F69" s="1"/>
  <c r="E70" s="1"/>
  <c r="C70" l="1"/>
  <c r="D70" s="1"/>
  <c r="F70" s="1"/>
  <c r="E71" s="1"/>
  <c r="G17" i="6"/>
  <c r="I26" i="8"/>
  <c r="I27" s="1"/>
  <c r="C71" l="1"/>
  <c r="D71" s="1"/>
  <c r="F71" s="1"/>
  <c r="H26"/>
  <c r="J26" s="1"/>
  <c r="J27" s="1"/>
  <c r="H27"/>
  <c r="G21" i="6"/>
  <c r="G10" i="7"/>
  <c r="G12" s="1"/>
  <c r="D35" i="10"/>
  <c r="K26" i="8" l="1"/>
  <c r="G31" i="6"/>
  <c r="G5" i="7"/>
  <c r="C72" i="8"/>
  <c r="E72"/>
  <c r="D72" l="1"/>
  <c r="G7" i="7"/>
  <c r="G15"/>
  <c r="C35" i="10" s="1"/>
  <c r="E35" s="1"/>
  <c r="C10"/>
  <c r="G14" i="7"/>
  <c r="C23" i="10" l="1"/>
  <c r="F10"/>
  <c r="F72" i="8"/>
  <c r="C73" l="1"/>
  <c r="D73" s="1"/>
  <c r="E73"/>
  <c r="D23" i="10"/>
  <c r="F23"/>
  <c r="F73" i="8" l="1"/>
  <c r="C74" l="1"/>
  <c r="D74" s="1"/>
  <c r="E74"/>
  <c r="F74" l="1"/>
  <c r="E75" l="1"/>
  <c r="C75"/>
  <c r="D75" s="1"/>
  <c r="F75" s="1"/>
  <c r="E76" l="1"/>
  <c r="I29" s="1"/>
  <c r="C76"/>
  <c r="D76" l="1"/>
  <c r="H29" s="1"/>
  <c r="J29" s="1"/>
  <c r="K29" l="1"/>
  <c r="F76"/>
  <c r="E77" s="1"/>
  <c r="C77" l="1"/>
  <c r="D77" s="1"/>
  <c r="F77" s="1"/>
  <c r="C78" l="1"/>
  <c r="D78" s="1"/>
  <c r="E78"/>
  <c r="F78" l="1"/>
  <c r="C79" l="1"/>
  <c r="D79" s="1"/>
  <c r="E79"/>
  <c r="F79" l="1"/>
  <c r="E80" l="1"/>
  <c r="C80"/>
  <c r="D80" l="1"/>
  <c r="F80" s="1"/>
  <c r="C81" l="1"/>
  <c r="D81" s="1"/>
  <c r="F81" s="1"/>
  <c r="E81"/>
  <c r="C82" l="1"/>
  <c r="D82" s="1"/>
  <c r="F82" s="1"/>
  <c r="E82"/>
  <c r="E83" l="1"/>
  <c r="C83"/>
  <c r="H30"/>
  <c r="H17" i="6"/>
  <c r="I30" i="8"/>
  <c r="I31" s="1"/>
  <c r="H21" i="6" l="1"/>
  <c r="H10" i="7"/>
  <c r="H12" s="1"/>
  <c r="D83" i="8"/>
  <c r="J30"/>
  <c r="J31" s="1"/>
  <c r="H31"/>
  <c r="K30"/>
  <c r="D36" i="10"/>
  <c r="F83" i="8" l="1"/>
  <c r="H5" i="7"/>
  <c r="H31" i="6"/>
  <c r="E84" i="8" l="1"/>
  <c r="C84"/>
  <c r="H15" i="7"/>
  <c r="C36" i="10" s="1"/>
  <c r="E36" s="1"/>
  <c r="C11"/>
  <c r="F11" s="1"/>
  <c r="H14" i="7"/>
  <c r="H7"/>
  <c r="D84" i="8" l="1"/>
  <c r="F84" s="1"/>
  <c r="E85" s="1"/>
  <c r="G11" i="10"/>
  <c r="G14" s="1"/>
  <c r="C24"/>
  <c r="C85" i="8" l="1"/>
  <c r="D85" s="1"/>
  <c r="F24" i="10"/>
  <c r="D24"/>
  <c r="F85" i="8" l="1"/>
  <c r="E86" l="1"/>
  <c r="C86"/>
  <c r="D86" l="1"/>
  <c r="F86" s="1"/>
  <c r="C87" s="1"/>
  <c r="D87" l="1"/>
  <c r="F87" s="1"/>
  <c r="E87"/>
  <c r="E88" l="1"/>
  <c r="I33" s="1"/>
  <c r="C88"/>
  <c r="D88" l="1"/>
  <c r="H33" s="1"/>
  <c r="K33" s="1"/>
  <c r="F88" l="1"/>
  <c r="E89" s="1"/>
  <c r="J33"/>
  <c r="C89" l="1"/>
  <c r="D89" s="1"/>
  <c r="F89" s="1"/>
  <c r="C90" l="1"/>
  <c r="D90" s="1"/>
  <c r="F90" s="1"/>
  <c r="E90"/>
  <c r="E91" l="1"/>
  <c r="C91"/>
  <c r="D91" l="1"/>
  <c r="F91" s="1"/>
  <c r="C92" l="1"/>
  <c r="D92" s="1"/>
  <c r="F92" s="1"/>
  <c r="E92"/>
  <c r="C93" l="1"/>
  <c r="D93" s="1"/>
  <c r="F93" s="1"/>
  <c r="E93"/>
  <c r="E94" l="1"/>
  <c r="C94"/>
  <c r="D94" l="1"/>
  <c r="I17" i="6"/>
  <c r="I34" i="8"/>
  <c r="I35" s="1"/>
  <c r="D37" i="10" l="1"/>
  <c r="H34" i="8"/>
  <c r="H35" s="1"/>
  <c r="F94"/>
  <c r="I21" i="6"/>
  <c r="I10" i="7"/>
  <c r="I12" s="1"/>
  <c r="J34" i="8" l="1"/>
  <c r="J35" s="1"/>
  <c r="K34"/>
  <c r="I31" i="6"/>
  <c r="I5" i="7"/>
  <c r="I14" l="1"/>
  <c r="I15"/>
  <c r="C37" i="10" s="1"/>
  <c r="E37" s="1"/>
  <c r="E38" s="1"/>
  <c r="C32" i="2" s="1"/>
  <c r="I7" i="7"/>
  <c r="C12" i="10"/>
  <c r="C25" l="1"/>
  <c r="F12"/>
  <c r="F14" s="1"/>
  <c r="D25" l="1"/>
  <c r="D27" s="1"/>
  <c r="E28" s="1"/>
  <c r="C31" i="2" s="1"/>
  <c r="F25" i="10"/>
  <c r="F27" s="1"/>
  <c r="F15"/>
  <c r="C29" i="2" s="1"/>
  <c r="F16" i="10"/>
  <c r="C30" i="2" s="1"/>
</calcChain>
</file>

<file path=xl/comments1.xml><?xml version="1.0" encoding="utf-8"?>
<comments xmlns="http://schemas.openxmlformats.org/spreadsheetml/2006/main">
  <authors>
    <author>vcri</author>
  </authors>
  <commentList>
    <comment ref="B11" authorId="0">
      <text>
        <r>
          <rPr>
            <b/>
            <sz val="8"/>
            <color indexed="81"/>
            <rFont val="Tahoma"/>
            <family val="2"/>
          </rPr>
          <t>vcri: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2" authorId="0">
      <text>
        <r>
          <rPr>
            <b/>
            <sz val="8"/>
            <color indexed="81"/>
            <rFont val="Tahoma"/>
            <family val="2"/>
          </rPr>
          <t>vcri: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3" authorId="0">
      <text>
        <r>
          <rPr>
            <b/>
            <sz val="8"/>
            <color indexed="81"/>
            <rFont val="Tahoma"/>
            <family val="2"/>
          </rPr>
          <t>vcri: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<sst xmlns="http://schemas.openxmlformats.org/spreadsheetml/2006/main" count="355" uniqueCount="288">
  <si>
    <t>PROJECT REPORT ON DAIRY FARMING</t>
  </si>
  <si>
    <t>PROJECT AT A GLANCE</t>
  </si>
  <si>
    <t>Name of the Farmer/Unit</t>
  </si>
  <si>
    <t>Address of the Farmer</t>
  </si>
  <si>
    <t>Mobile Number</t>
  </si>
  <si>
    <t>Nature of the Farming / Activity</t>
  </si>
  <si>
    <t>Address location of the Farm</t>
  </si>
  <si>
    <t>Aadhar Number (Optional)</t>
  </si>
  <si>
    <t>E mail Id  (Optional)</t>
  </si>
  <si>
    <t>PROJECT COST</t>
  </si>
  <si>
    <t>MEANS OF FINANCE</t>
  </si>
  <si>
    <t>Bank Loan (in Rs.)</t>
  </si>
  <si>
    <t>Margin Money (in Rs.)</t>
  </si>
  <si>
    <t>Project evaluation Values</t>
  </si>
  <si>
    <t>DSCR</t>
  </si>
  <si>
    <t>NPV</t>
  </si>
  <si>
    <t>BCR</t>
  </si>
  <si>
    <t>IRR (in per cent)</t>
  </si>
  <si>
    <t>Employment opportunities(in No. of labour)</t>
  </si>
  <si>
    <t>Number of animals</t>
  </si>
  <si>
    <t>Total (in Rs.)</t>
  </si>
  <si>
    <t>Subsidy (in Rs.)</t>
  </si>
  <si>
    <t>Name of the Financing Bank</t>
  </si>
  <si>
    <t xml:space="preserve">Name of the Branch </t>
  </si>
  <si>
    <t>Rate of Interest (in percent / annum)</t>
  </si>
  <si>
    <t>Repayment Period (in years)</t>
  </si>
  <si>
    <t>Name of Subsidy Programme</t>
  </si>
  <si>
    <t>Capital and Machineary Investment (in Rs.)</t>
  </si>
  <si>
    <t>Working Capital (in Rs.)</t>
  </si>
  <si>
    <t>Total Cost of the Project (in Rs.)</t>
  </si>
  <si>
    <t>TECHNO ECONOMIC PARAMETERS</t>
  </si>
  <si>
    <t>Name of the Breed</t>
  </si>
  <si>
    <t>Indigenous</t>
  </si>
  <si>
    <t>Unit Size (No. of Animals)</t>
  </si>
  <si>
    <t>Transport Charges (Rs./Animal)</t>
  </si>
  <si>
    <t>SHED/BUILDING</t>
  </si>
  <si>
    <t>ANIMAL</t>
  </si>
  <si>
    <t>Floor Space Requirement for Store Room (in Sq.ft)</t>
  </si>
  <si>
    <t>Cost of Construction for Store Room (Rs./Sq.ft)</t>
  </si>
  <si>
    <t>Cost of Construction for Labour Quarters (Rs./Sq.ft)</t>
  </si>
  <si>
    <t>Floor Space Requirement for Labour Quarters (in Sq.ft)</t>
  </si>
  <si>
    <t>EQUIPMENT</t>
  </si>
  <si>
    <t>Cost of Brush Cutter (in Rs.)</t>
  </si>
  <si>
    <t>Cost of Motor for irrigation facilities (in Rs.)</t>
  </si>
  <si>
    <t>Cost of Sprinkler and Fogger</t>
  </si>
  <si>
    <t>Cost of Computers (in Rs.)</t>
  </si>
  <si>
    <t>Cost of CCTV (in Rs.)</t>
  </si>
  <si>
    <t>VEHICLE</t>
  </si>
  <si>
    <t>Cost of Vehicle (in Rs./Vehicle)</t>
  </si>
  <si>
    <t>Number of Two Wheeler (in Nos.)</t>
  </si>
  <si>
    <t>Number of Four Wheeler (in Nos.)</t>
  </si>
  <si>
    <t>OTHER INFRASTRUCTURE</t>
  </si>
  <si>
    <t>Land leveling Charges (in Rs.)</t>
  </si>
  <si>
    <t>Digging of Borewell (in Rs.)</t>
  </si>
  <si>
    <t>Insurance Premium (in percent / animal / annum)</t>
  </si>
  <si>
    <t>Margin Money (in percent)</t>
  </si>
  <si>
    <t>Rate of Interets (in percent)</t>
  </si>
  <si>
    <t>Subsidy (in percent to the total cost of the project)</t>
  </si>
  <si>
    <t>EXPENSES</t>
  </si>
  <si>
    <t>Cost of Concentrate Feed (Rs./kg)</t>
  </si>
  <si>
    <t>Green Fodder Production from Second Year onwards (Rs./acre)</t>
  </si>
  <si>
    <t>Green Fodder Field Establishment in First Year (Rs./acre)</t>
  </si>
  <si>
    <t>Green Fodder Area Requirement (in acres)</t>
  </si>
  <si>
    <t>Electricity Charges (Rs./month)</t>
  </si>
  <si>
    <t>Fuel Charges (Rs./month)</t>
  </si>
  <si>
    <t>Depreciation on Animal sheds and other Buildings (in Percent /annum)</t>
  </si>
  <si>
    <t>Depreciation on All type of Equipments (in percent / annum)</t>
  </si>
  <si>
    <t>LABOUR</t>
  </si>
  <si>
    <t>Wages for Farm Worker (in Rs./month)</t>
  </si>
  <si>
    <t>No. of Labour Required for Farm Work (in nos)</t>
  </si>
  <si>
    <t>No. of Farm Manager Required (in nos)</t>
  </si>
  <si>
    <t>No. of Drivers Required (in nos)</t>
  </si>
  <si>
    <t>No. of Office Staff Required (in nos)</t>
  </si>
  <si>
    <t>Salary for Office Staff (in Rs./month)</t>
  </si>
  <si>
    <t>Salary for Driver (in Rs./month)</t>
  </si>
  <si>
    <t>salary for Farm manager (in Rs./month)</t>
  </si>
  <si>
    <t>Expenses for Feed Making Unit (Rs./annum)</t>
  </si>
  <si>
    <t>RETURNS</t>
  </si>
  <si>
    <t>INVESTMENT OF THE PROJECT</t>
  </si>
  <si>
    <t>CAPITAL/FIXED INVESTMENT</t>
  </si>
  <si>
    <t xml:space="preserve">Cost of Construction for Store Room </t>
  </si>
  <si>
    <t>MENAS OF FINANCE</t>
  </si>
  <si>
    <t>Cost of Vehicle</t>
  </si>
  <si>
    <t>Total Capital Investment</t>
  </si>
  <si>
    <t xml:space="preserve">Insurance Premium </t>
  </si>
  <si>
    <t xml:space="preserve">Transport Charges </t>
  </si>
  <si>
    <t>Cost of Concentrate Feed</t>
  </si>
  <si>
    <t>Cost of Dry Fodder</t>
  </si>
  <si>
    <t>Cost of Green Fodder</t>
  </si>
  <si>
    <t>Veterinary Expenses</t>
  </si>
  <si>
    <t>Electricity Expenses</t>
  </si>
  <si>
    <t>Fuel Expenses</t>
  </si>
  <si>
    <t>Miscellaneous Expenses</t>
  </si>
  <si>
    <t>Labour Wages</t>
  </si>
  <si>
    <t xml:space="preserve">Expenses for Feed Making Unit </t>
  </si>
  <si>
    <t>Total Working Capital</t>
  </si>
  <si>
    <t>Total Cost of the Project</t>
  </si>
  <si>
    <t>Loan From Bank</t>
  </si>
  <si>
    <t>Margin Money</t>
  </si>
  <si>
    <t>Total</t>
  </si>
  <si>
    <t xml:space="preserve">Subsidy </t>
  </si>
  <si>
    <t>I Year</t>
  </si>
  <si>
    <t>II Year</t>
  </si>
  <si>
    <t>III Year</t>
  </si>
  <si>
    <t>IV Year</t>
  </si>
  <si>
    <t>V Year</t>
  </si>
  <si>
    <t>VI Year</t>
  </si>
  <si>
    <t>VII Year</t>
  </si>
  <si>
    <t>EXPENDITURE INCOME STATEMENT</t>
  </si>
  <si>
    <t xml:space="preserve">Expenditure </t>
  </si>
  <si>
    <t>Total Expendiutre</t>
  </si>
  <si>
    <t>Income</t>
  </si>
  <si>
    <t>Total Income</t>
  </si>
  <si>
    <t>Interest</t>
  </si>
  <si>
    <t>Net Income</t>
  </si>
  <si>
    <t>Depreciation on Building</t>
  </si>
  <si>
    <t>Depreciation on Equipments</t>
  </si>
  <si>
    <t>CASH FLOW STATEMENT</t>
  </si>
  <si>
    <t>Total Expenditure</t>
  </si>
  <si>
    <t>Total Revenue</t>
  </si>
  <si>
    <t xml:space="preserve">Depreciation </t>
  </si>
  <si>
    <t xml:space="preserve"> Net Revenue</t>
  </si>
  <si>
    <t xml:space="preserve">Net Revenue After Dep and Int </t>
  </si>
  <si>
    <t>Total (INT + DEP)</t>
  </si>
  <si>
    <t>REPAYMENT SCHEDULE</t>
  </si>
  <si>
    <t>Loan Amount</t>
  </si>
  <si>
    <t>Rate of Interest per annum</t>
  </si>
  <si>
    <t>per month</t>
  </si>
  <si>
    <t>Term of loan in Years</t>
  </si>
  <si>
    <t>months</t>
  </si>
  <si>
    <t>Payment due per year</t>
  </si>
  <si>
    <t>Payment due per month</t>
  </si>
  <si>
    <t>MONTH</t>
  </si>
  <si>
    <t>PAYMENT DUE</t>
  </si>
  <si>
    <t>PRINCIPAL</t>
  </si>
  <si>
    <t>INTEREST</t>
  </si>
  <si>
    <t>BALANCE</t>
  </si>
  <si>
    <t>Building</t>
  </si>
  <si>
    <t>Equipment</t>
  </si>
  <si>
    <t>Year</t>
  </si>
  <si>
    <t>Beginning Value</t>
  </si>
  <si>
    <t>Rate of Dep.</t>
  </si>
  <si>
    <t>End Value</t>
  </si>
  <si>
    <t>DEPRECIATION</t>
  </si>
  <si>
    <t>FINANCIAL ANALYSIS OF THE PROJECT</t>
  </si>
  <si>
    <t>Net Present Worth and Benefit Cost Ratio</t>
  </si>
  <si>
    <t>Expenditure</t>
  </si>
  <si>
    <t>Revenue</t>
  </si>
  <si>
    <t>Discount Factor</t>
  </si>
  <si>
    <t>PWof Expenditure</t>
  </si>
  <si>
    <t>PW of Benefit</t>
  </si>
  <si>
    <t>Total Expenditure Without DEP+ INT</t>
  </si>
  <si>
    <t>NPW</t>
  </si>
  <si>
    <t>INB</t>
  </si>
  <si>
    <t>DF Higher IR</t>
  </si>
  <si>
    <t>PV of Lower IR</t>
  </si>
  <si>
    <t>PV of Higher IR</t>
  </si>
  <si>
    <t>IRR</t>
  </si>
  <si>
    <t>%</t>
  </si>
  <si>
    <t>Internal Rate of Return</t>
  </si>
  <si>
    <t>Debt Service Coverage Ratio</t>
  </si>
  <si>
    <t>Total Debt</t>
  </si>
  <si>
    <t>DSCR Vaue</t>
  </si>
  <si>
    <t>Average DSCR</t>
  </si>
  <si>
    <t xml:space="preserve">Cost of Construction for Labour Quarters </t>
  </si>
  <si>
    <t xml:space="preserve">Cost of Chaff Cutter </t>
  </si>
  <si>
    <t xml:space="preserve">Cost of Brush Cutter </t>
  </si>
  <si>
    <t xml:space="preserve">Cost of Establishment of Overhead Tank </t>
  </si>
  <si>
    <t xml:space="preserve">Land leveling Charges </t>
  </si>
  <si>
    <t xml:space="preserve">Digging of Borewell </t>
  </si>
  <si>
    <t xml:space="preserve">Cost of Computers </t>
  </si>
  <si>
    <t xml:space="preserve">Cost of CCTV </t>
  </si>
  <si>
    <t>Development of specialized computer software to assist veterinary professionals in creating bankable livestock and poultry farming project report</t>
  </si>
  <si>
    <t>DHARSHID VINESH, U.R. BVN 23018</t>
  </si>
  <si>
    <t>DHARSHIKA, K BVN 23038</t>
  </si>
  <si>
    <t>III PFY, B.V.Sc., &amp; A.H., 2023-24 Batch</t>
  </si>
  <si>
    <t>Dr. V. Senthilkumar, M.V.Sc., Ph.D.,</t>
  </si>
  <si>
    <t>Professor and Head,</t>
  </si>
  <si>
    <t>TAMIL NADU VETERINARY AND ANIMAL SCIENCEAS UNIVERSITY</t>
  </si>
  <si>
    <t>VETERINARY COLLEGE AND RESEARCH INSTITUTE, NAMAKKAL</t>
  </si>
  <si>
    <t>DEPARTMENT OF ANIMAL HUSBANDRY ECONOMICS</t>
  </si>
  <si>
    <t>Under Tamil Nadu GovernmentScheme on</t>
  </si>
  <si>
    <t xml:space="preserve"> "Students - Entrepreneurs - Industrialists Conclave: Showcasing, refinement and support for  commersialization of the innovations of students in the field of Veterinary and Animal Sciences"</t>
  </si>
  <si>
    <t>Name of the Student</t>
  </si>
  <si>
    <t>Name of the Mentor</t>
  </si>
  <si>
    <t>Department of Animal Husbandry Economics</t>
  </si>
  <si>
    <t>Veterinary College and Reasearch Institute</t>
  </si>
  <si>
    <t>Namakkal 637 002</t>
  </si>
  <si>
    <t>Title of the Project:</t>
  </si>
  <si>
    <t>15-20 sq.ft</t>
  </si>
  <si>
    <t>Standard</t>
  </si>
  <si>
    <t xml:space="preserve">Fixed Investment : It refers to buying /constructing  long term physical assets such as animals, sheds and equipments. </t>
  </si>
  <si>
    <t xml:space="preserve">Working Capital: It represents the funds required to operate day to day farming expenses up to the certain period of receiving income. </t>
  </si>
  <si>
    <t>Margin Money: Farmer/Beneficiary Contribution to the total project cost. Range about 5 to 25 per cent</t>
  </si>
  <si>
    <t>Subsidy : Various rate of susbsidy avaiable depends on the scheme announced by Government</t>
  </si>
  <si>
    <t>Depreciation: Decline in value by usage or wear and tear. Buildings 10 % , Equipments 15%</t>
  </si>
  <si>
    <t>VIABLE OF THE PROJECT</t>
  </si>
  <si>
    <t>Positive</t>
  </si>
  <si>
    <t>More than one</t>
  </si>
  <si>
    <t>More than the lower interest rate</t>
  </si>
  <si>
    <t>Above two</t>
  </si>
  <si>
    <t>PROJECT REPORT ON GOAT FARMING</t>
  </si>
  <si>
    <t>Type of Animal</t>
  </si>
  <si>
    <t xml:space="preserve">Goat </t>
  </si>
  <si>
    <t>Tellicherry</t>
  </si>
  <si>
    <t>Boer</t>
  </si>
  <si>
    <t>System of Rearing</t>
  </si>
  <si>
    <t>Stall Fed Rearing</t>
  </si>
  <si>
    <t>Male - Buck</t>
  </si>
  <si>
    <t>Female - Doe</t>
  </si>
  <si>
    <t>Purchase cost of Male Animals (Rs./Animal)</t>
  </si>
  <si>
    <t>Purchase cost of Female Animals (Rs./Animal)</t>
  </si>
  <si>
    <t xml:space="preserve">Semi Intensive </t>
  </si>
  <si>
    <t>Floor Space Requirement for Male Animal (Sq.ft/Buck)</t>
  </si>
  <si>
    <t>Floor Space Requirement for Female Animal (Sq.ft/Doe)</t>
  </si>
  <si>
    <t>Floor Space Requirement for Kids (Sq.ft/Kid)</t>
  </si>
  <si>
    <t>Cost of Construction for Shed for Buck, Doe and Kid (Rs./Sq.ft)</t>
  </si>
  <si>
    <t>Cost of Fencing for Goat Shed (in Rs.)</t>
  </si>
  <si>
    <t>Cost of Equipment for Adult Animal  (Rs./animal)</t>
  </si>
  <si>
    <t>Cost of Equipment for Kids (Rs./Kid)</t>
  </si>
  <si>
    <t>Requirement for number of Chaff Cutter (in nos.)</t>
  </si>
  <si>
    <t>Cost of Chaff Cutter (in Rs./Chaff cutter)</t>
  </si>
  <si>
    <t>Cost of Establishment of Overhead Tank/Water storage Tank (in Rs.)</t>
  </si>
  <si>
    <t>Concentrate Feed Requirement for Buck (Kg/day/Buck)</t>
  </si>
  <si>
    <t>Concentrate Feed Requirement for Doe (Kg/day/Doe)</t>
  </si>
  <si>
    <t>Concentrate Feed Requiremnt for Kid (Kg/day/Kid)</t>
  </si>
  <si>
    <t>Cost of Dry Fodder (Rs./annum)</t>
  </si>
  <si>
    <t>Veterinary Aid for Adult Animal (Rs./animal/annum)</t>
  </si>
  <si>
    <t>Veterinary Aid for Kid (Rs./Kid/annum)</t>
  </si>
  <si>
    <t>Income from Mannure (Rs./animal/annum)</t>
  </si>
  <si>
    <t>Sale Price of Female Kids (Rs./Kid)</t>
  </si>
  <si>
    <t>Sale Price of Male KIds  (Rs./Kid )</t>
  </si>
  <si>
    <t xml:space="preserve">PRODUCTION </t>
  </si>
  <si>
    <t>Conception Rate (in Per cent /annum)</t>
  </si>
  <si>
    <t>Kidding interval (in months)</t>
  </si>
  <si>
    <t>Culling Percentage (in per cent / annum)</t>
  </si>
  <si>
    <t>Kidding Percentage (in per cent/annum)</t>
  </si>
  <si>
    <t>Saleable age of kids (in months)</t>
  </si>
  <si>
    <t>Number of kidding (in nos per doe per annum)</t>
  </si>
  <si>
    <t>Average Litter Size (single, twinning and triplet - in nos./birth)</t>
  </si>
  <si>
    <t>Cost of Mini Feed Making Machinery (in Rs.)</t>
  </si>
  <si>
    <t>Miscellaneous / Contingency Expenses (in Rs./adult/annum)</t>
  </si>
  <si>
    <t>per  adult</t>
  </si>
  <si>
    <t>per kid</t>
  </si>
  <si>
    <t>3-5 sq.ft</t>
  </si>
  <si>
    <t>Cost of Buck</t>
  </si>
  <si>
    <t>Cost of Doe</t>
  </si>
  <si>
    <t>Coat of Construction for Adult Animal Shed</t>
  </si>
  <si>
    <t>Cost of Construction for Kid Pen</t>
  </si>
  <si>
    <t>Cost of Equipment for Adult Animal</t>
  </si>
  <si>
    <t>Cost of Equipment for kids</t>
  </si>
  <si>
    <t xml:space="preserve">Cost of Mini Feed Making Machinery </t>
  </si>
  <si>
    <t xml:space="preserve">Cost of Motor for Irrigation Facilities </t>
  </si>
  <si>
    <t>Cost of Fencing  for Goat Shed</t>
  </si>
  <si>
    <t>WORKING CAPITAL - ONE YEAR</t>
  </si>
  <si>
    <t>FLOCK PROJECTION CHART</t>
  </si>
  <si>
    <t>Particulars</t>
  </si>
  <si>
    <t>Number of does purchased</t>
  </si>
  <si>
    <t>Number of bucks purchased</t>
  </si>
  <si>
    <t>Number of kidding per year</t>
  </si>
  <si>
    <t>Number of kid per kidding/litter</t>
  </si>
  <si>
    <t xml:space="preserve">Number of male kids born </t>
  </si>
  <si>
    <t>Number of male kids mortality</t>
  </si>
  <si>
    <t>Number of female kids born</t>
  </si>
  <si>
    <t>Number of female kids mortality</t>
  </si>
  <si>
    <t>Number of male kids available for sale</t>
  </si>
  <si>
    <t>Number of female kids available for sale</t>
  </si>
  <si>
    <t>Number of male kids as replacement stock</t>
  </si>
  <si>
    <t>Number of female kids as replacement sotck</t>
  </si>
  <si>
    <t>Number of adult male culled</t>
  </si>
  <si>
    <t>Number of female adult culled</t>
  </si>
  <si>
    <t>Mortality of kids (in per cent / annum)</t>
  </si>
  <si>
    <t>By Sale of Female Kids</t>
  </si>
  <si>
    <t>By Sale of Male Kids</t>
  </si>
  <si>
    <t>By Sale of Mannue</t>
  </si>
  <si>
    <t>My Sale of Culled Animals</t>
  </si>
  <si>
    <t>sale Price of Culled animal (Rs./animal)</t>
  </si>
  <si>
    <t>Principal</t>
  </si>
  <si>
    <t>Outstanding Balance</t>
  </si>
  <si>
    <t>First</t>
  </si>
  <si>
    <t>I</t>
  </si>
  <si>
    <t>II</t>
  </si>
  <si>
    <t>Second</t>
  </si>
  <si>
    <t>Third</t>
  </si>
  <si>
    <t>Fourth</t>
  </si>
  <si>
    <t>Fifth</t>
  </si>
  <si>
    <t>Sixth</t>
  </si>
  <si>
    <t>Seventh</t>
  </si>
</sst>
</file>

<file path=xl/styles.xml><?xml version="1.0" encoding="utf-8"?>
<styleSheet xmlns="http://schemas.openxmlformats.org/spreadsheetml/2006/main">
  <numFmts count="1">
    <numFmt numFmtId="164" formatCode="0.000"/>
  </numFmts>
  <fonts count="1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0"/>
      <color rgb="FFC00000"/>
      <name val="Arial"/>
      <family val="2"/>
    </font>
    <font>
      <b/>
      <sz val="11"/>
      <color rgb="FF00B050"/>
      <name val="Calibri"/>
      <family val="2"/>
      <scheme val="minor"/>
    </font>
    <font>
      <u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0" fillId="0" borderId="0" xfId="0" applyFont="1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Font="1"/>
    <xf numFmtId="1" fontId="2" fillId="0" borderId="0" xfId="0" applyNumberFormat="1" applyFont="1"/>
    <xf numFmtId="0" fontId="5" fillId="0" borderId="0" xfId="0" applyFont="1"/>
    <xf numFmtId="0" fontId="6" fillId="0" borderId="0" xfId="0" applyFont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2" fillId="0" borderId="0" xfId="0" applyNumberFormat="1" applyFont="1"/>
    <xf numFmtId="1" fontId="2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justify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9" fillId="0" borderId="0" xfId="0" applyFont="1" applyAlignment="1">
      <alignment horizontal="center"/>
    </xf>
    <xf numFmtId="0" fontId="13" fillId="0" borderId="0" xfId="0" applyFont="1"/>
    <xf numFmtId="1" fontId="13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2" fontId="13" fillId="0" borderId="0" xfId="0" applyNumberFormat="1" applyFont="1"/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4" fillId="2" borderId="0" xfId="1" applyFill="1" applyAlignment="1" applyProtection="1"/>
    <xf numFmtId="0" fontId="3" fillId="0" borderId="0" xfId="0" applyFont="1"/>
    <xf numFmtId="1" fontId="3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1" fontId="11" fillId="0" borderId="0" xfId="0" applyNumberFormat="1" applyFont="1"/>
    <xf numFmtId="2" fontId="11" fillId="0" borderId="0" xfId="0" applyNumberFormat="1" applyFont="1"/>
    <xf numFmtId="0" fontId="0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350520</xdr:colOff>
      <xdr:row>7</xdr:row>
      <xdr:rowOff>99060</xdr:rowOff>
    </xdr:from>
    <xdr:to>
      <xdr:col>4</xdr:col>
      <xdr:colOff>198120</xdr:colOff>
      <xdr:row>12</xdr:row>
      <xdr:rowOff>114935</xdr:rowOff>
    </xdr:to>
    <xdr:pic>
      <xdr:nvPicPr>
        <xdr:cNvPr id="2" name="Picture 1" descr="Image result for tanuvas 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69720" y="1379220"/>
          <a:ext cx="1066800" cy="930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434340</xdr:colOff>
      <xdr:row>7</xdr:row>
      <xdr:rowOff>160020</xdr:rowOff>
    </xdr:from>
    <xdr:to>
      <xdr:col>16</xdr:col>
      <xdr:colOff>434340</xdr:colOff>
      <xdr:row>13</xdr:row>
      <xdr:rowOff>86677</xdr:rowOff>
    </xdr:to>
    <xdr:pic>
      <xdr:nvPicPr>
        <xdr:cNvPr id="3" name="Picture 2" descr="VCRI green log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68740" y="1440180"/>
          <a:ext cx="1219200" cy="10239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F10:K29"/>
  <sheetViews>
    <sheetView workbookViewId="0">
      <selection activeCell="I13" sqref="I13"/>
    </sheetView>
  </sheetViews>
  <sheetFormatPr defaultRowHeight="14.4"/>
  <cols>
    <col min="6" max="6" width="20" customWidth="1"/>
  </cols>
  <sheetData>
    <row r="10" spans="6:11">
      <c r="F10" s="1" t="s">
        <v>178</v>
      </c>
      <c r="G10" s="1"/>
      <c r="H10" s="1"/>
      <c r="I10" s="1"/>
      <c r="J10" s="1"/>
      <c r="K10" s="1"/>
    </row>
    <row r="11" spans="6:11">
      <c r="F11" s="1" t="s">
        <v>179</v>
      </c>
      <c r="G11" s="1"/>
      <c r="H11" s="1"/>
      <c r="I11" s="1"/>
      <c r="J11" s="1"/>
      <c r="K11" s="1"/>
    </row>
    <row r="12" spans="6:11">
      <c r="F12" s="1" t="s">
        <v>180</v>
      </c>
      <c r="G12" s="1"/>
      <c r="H12" s="1"/>
      <c r="I12" s="1"/>
      <c r="J12" s="1"/>
      <c r="K12" s="1"/>
    </row>
    <row r="13" spans="6:11">
      <c r="H13" s="23" t="s">
        <v>201</v>
      </c>
    </row>
    <row r="15" spans="6:11">
      <c r="F15" s="1" t="s">
        <v>188</v>
      </c>
      <c r="G15" s="20" t="s">
        <v>172</v>
      </c>
    </row>
    <row r="16" spans="6:11">
      <c r="H16" t="s">
        <v>181</v>
      </c>
    </row>
    <row r="17" spans="7:9">
      <c r="I17" t="s">
        <v>182</v>
      </c>
    </row>
    <row r="19" spans="7:9">
      <c r="G19" t="s">
        <v>183</v>
      </c>
    </row>
    <row r="20" spans="7:9">
      <c r="G20" s="1" t="s">
        <v>173</v>
      </c>
    </row>
    <row r="21" spans="7:9">
      <c r="G21" s="1" t="s">
        <v>174</v>
      </c>
    </row>
    <row r="22" spans="7:9">
      <c r="G22" t="s">
        <v>175</v>
      </c>
    </row>
    <row r="24" spans="7:9">
      <c r="G24" t="s">
        <v>184</v>
      </c>
    </row>
    <row r="25" spans="7:9">
      <c r="G25" s="21"/>
      <c r="H25" s="1" t="s">
        <v>176</v>
      </c>
    </row>
    <row r="26" spans="7:9">
      <c r="G26" s="21"/>
      <c r="H26" t="s">
        <v>177</v>
      </c>
    </row>
    <row r="27" spans="7:9">
      <c r="G27" s="21"/>
      <c r="H27" t="s">
        <v>185</v>
      </c>
    </row>
    <row r="28" spans="7:9">
      <c r="G28" s="21"/>
      <c r="H28" t="s">
        <v>186</v>
      </c>
    </row>
    <row r="29" spans="7:9">
      <c r="G29" s="22"/>
      <c r="H29" t="s">
        <v>187</v>
      </c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F33"/>
  <sheetViews>
    <sheetView workbookViewId="0">
      <selection activeCell="G11" sqref="G11"/>
    </sheetView>
  </sheetViews>
  <sheetFormatPr defaultRowHeight="14.4"/>
  <cols>
    <col min="1" max="1" width="5.77734375" customWidth="1"/>
    <col min="2" max="2" width="40.5546875" customWidth="1"/>
    <col min="3" max="3" width="8.88671875" customWidth="1"/>
  </cols>
  <sheetData>
    <row r="3" spans="1:6">
      <c r="C3" s="23" t="s">
        <v>0</v>
      </c>
      <c r="D3" s="4"/>
      <c r="E3" s="4"/>
      <c r="F3" s="4"/>
    </row>
    <row r="4" spans="1:6">
      <c r="C4" s="4"/>
      <c r="D4" s="4"/>
      <c r="E4" s="4"/>
      <c r="F4" s="4"/>
    </row>
    <row r="5" spans="1:6">
      <c r="C5" s="23" t="s">
        <v>1</v>
      </c>
      <c r="D5" s="4"/>
      <c r="E5" s="4"/>
      <c r="F5" s="4"/>
    </row>
    <row r="6" spans="1:6">
      <c r="A6" s="1">
        <v>1</v>
      </c>
      <c r="B6" s="1" t="s">
        <v>2</v>
      </c>
    </row>
    <row r="7" spans="1:6" ht="58.8" customHeight="1">
      <c r="A7" s="2">
        <v>2</v>
      </c>
      <c r="B7" s="2" t="s">
        <v>3</v>
      </c>
    </row>
    <row r="8" spans="1:6" ht="18.600000000000001" customHeight="1">
      <c r="A8" s="2">
        <v>3</v>
      </c>
      <c r="B8" s="2" t="s">
        <v>7</v>
      </c>
    </row>
    <row r="9" spans="1:6">
      <c r="A9" s="1">
        <v>4</v>
      </c>
      <c r="B9" s="1" t="s">
        <v>4</v>
      </c>
    </row>
    <row r="10" spans="1:6">
      <c r="A10" s="1">
        <v>5</v>
      </c>
      <c r="B10" s="1" t="s">
        <v>8</v>
      </c>
    </row>
    <row r="11" spans="1:6">
      <c r="A11" s="1">
        <v>6</v>
      </c>
      <c r="B11" s="1" t="s">
        <v>5</v>
      </c>
    </row>
    <row r="12" spans="1:6">
      <c r="A12" s="1"/>
      <c r="B12" s="1" t="s">
        <v>19</v>
      </c>
    </row>
    <row r="13" spans="1:6" ht="35.4" customHeight="1">
      <c r="A13" s="2">
        <v>7</v>
      </c>
      <c r="B13" s="2" t="s">
        <v>6</v>
      </c>
    </row>
    <row r="14" spans="1:6">
      <c r="A14" s="1">
        <v>8</v>
      </c>
      <c r="B14" s="1" t="s">
        <v>22</v>
      </c>
    </row>
    <row r="15" spans="1:6">
      <c r="A15" s="1">
        <v>9</v>
      </c>
      <c r="B15" s="1" t="s">
        <v>23</v>
      </c>
    </row>
    <row r="16" spans="1:6">
      <c r="A16" s="1">
        <v>10</v>
      </c>
      <c r="B16" s="1" t="s">
        <v>9</v>
      </c>
    </row>
    <row r="17" spans="1:3">
      <c r="A17" s="1"/>
      <c r="B17" t="s">
        <v>27</v>
      </c>
      <c r="C17">
        <f>Investment!C27</f>
        <v>1688100</v>
      </c>
    </row>
    <row r="18" spans="1:3">
      <c r="A18" s="1"/>
      <c r="B18" t="s">
        <v>28</v>
      </c>
      <c r="C18">
        <f>Investment!C45</f>
        <v>793600</v>
      </c>
    </row>
    <row r="19" spans="1:3">
      <c r="A19" s="1"/>
      <c r="B19" t="s">
        <v>29</v>
      </c>
      <c r="C19">
        <f>Investment!C46</f>
        <v>2481700</v>
      </c>
    </row>
    <row r="20" spans="1:3">
      <c r="A20" s="1">
        <v>11</v>
      </c>
      <c r="B20" s="1" t="s">
        <v>10</v>
      </c>
    </row>
    <row r="21" spans="1:3">
      <c r="A21" s="1"/>
      <c r="B21" s="3" t="s">
        <v>11</v>
      </c>
      <c r="C21">
        <f>Investment!C49</f>
        <v>2357615</v>
      </c>
    </row>
    <row r="22" spans="1:3">
      <c r="A22" s="1"/>
      <c r="B22" t="s">
        <v>12</v>
      </c>
      <c r="C22">
        <f>Investment!C50</f>
        <v>124085</v>
      </c>
    </row>
    <row r="23" spans="1:3">
      <c r="A23" s="1"/>
      <c r="B23" t="s">
        <v>20</v>
      </c>
      <c r="C23">
        <f>Investment!C52</f>
        <v>868595</v>
      </c>
    </row>
    <row r="24" spans="1:3">
      <c r="A24" s="1"/>
      <c r="B24" t="s">
        <v>21</v>
      </c>
    </row>
    <row r="25" spans="1:3">
      <c r="A25" s="1"/>
      <c r="B25" t="s">
        <v>26</v>
      </c>
    </row>
    <row r="26" spans="1:3">
      <c r="A26" s="1"/>
      <c r="B26" s="3" t="s">
        <v>24</v>
      </c>
      <c r="C26">
        <f>'Techno Economic Parameters'!C47</f>
        <v>11.5</v>
      </c>
    </row>
    <row r="27" spans="1:3">
      <c r="A27" s="1"/>
      <c r="B27" s="3" t="s">
        <v>25</v>
      </c>
      <c r="C27">
        <f>'Techno Economic Parameters'!C48</f>
        <v>7</v>
      </c>
    </row>
    <row r="28" spans="1:3">
      <c r="A28" s="1">
        <v>12</v>
      </c>
      <c r="B28" s="1" t="s">
        <v>13</v>
      </c>
    </row>
    <row r="29" spans="1:3">
      <c r="A29" s="1"/>
      <c r="B29" s="3" t="s">
        <v>15</v>
      </c>
      <c r="C29" s="5">
        <f>'Financial Analysis'!F15</f>
        <v>7702670.37548362</v>
      </c>
    </row>
    <row r="30" spans="1:3">
      <c r="A30" s="1"/>
      <c r="B30" s="3" t="s">
        <v>16</v>
      </c>
      <c r="C30" s="6">
        <f>'Financial Analysis'!F16</f>
        <v>2.6047446378785857</v>
      </c>
    </row>
    <row r="31" spans="1:3">
      <c r="A31" s="1"/>
      <c r="B31" s="3" t="s">
        <v>17</v>
      </c>
      <c r="C31" s="6">
        <f>'Financial Analysis'!E28</f>
        <v>24.190455854721236</v>
      </c>
    </row>
    <row r="32" spans="1:3">
      <c r="A32" s="1"/>
      <c r="B32" s="3" t="s">
        <v>14</v>
      </c>
      <c r="C32" s="6">
        <f>'Financial Analysis'!E38</f>
        <v>4.0667978910779485</v>
      </c>
    </row>
    <row r="33" spans="1:2">
      <c r="A33" s="1">
        <v>13</v>
      </c>
      <c r="B33" s="1" t="s">
        <v>18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3:H98"/>
  <sheetViews>
    <sheetView topLeftCell="A37" workbookViewId="0">
      <selection activeCell="F90" sqref="F90"/>
    </sheetView>
  </sheetViews>
  <sheetFormatPr defaultRowHeight="14.4"/>
  <cols>
    <col min="1" max="1" width="6.88671875" customWidth="1"/>
    <col min="2" max="2" width="57.109375" customWidth="1"/>
    <col min="3" max="3" width="13" customWidth="1"/>
    <col min="4" max="4" width="12.44140625" customWidth="1"/>
    <col min="5" max="5" width="10.6640625" customWidth="1"/>
    <col min="6" max="7" width="10" customWidth="1"/>
  </cols>
  <sheetData>
    <row r="3" spans="2:8">
      <c r="C3" s="23" t="s">
        <v>201</v>
      </c>
    </row>
    <row r="5" spans="2:8">
      <c r="B5" s="25" t="s">
        <v>30</v>
      </c>
    </row>
    <row r="6" spans="2:8">
      <c r="B6" s="25" t="s">
        <v>36</v>
      </c>
    </row>
    <row r="7" spans="2:8">
      <c r="B7" t="s">
        <v>202</v>
      </c>
      <c r="C7" s="1" t="s">
        <v>203</v>
      </c>
      <c r="D7" s="1"/>
      <c r="E7" s="1"/>
      <c r="F7" s="1"/>
      <c r="G7" s="1"/>
    </row>
    <row r="8" spans="2:8">
      <c r="B8" t="s">
        <v>206</v>
      </c>
      <c r="C8" s="1" t="s">
        <v>207</v>
      </c>
      <c r="D8" s="1" t="s">
        <v>212</v>
      </c>
      <c r="E8" s="1"/>
      <c r="F8" s="1"/>
      <c r="G8" s="1"/>
    </row>
    <row r="9" spans="2:8">
      <c r="B9" t="s">
        <v>31</v>
      </c>
      <c r="C9" s="1" t="s">
        <v>204</v>
      </c>
      <c r="D9" s="1" t="s">
        <v>205</v>
      </c>
      <c r="E9" s="1" t="s">
        <v>32</v>
      </c>
      <c r="F9" s="1"/>
      <c r="G9" s="1"/>
      <c r="H9" s="4"/>
    </row>
    <row r="10" spans="2:8">
      <c r="C10" s="1" t="s">
        <v>208</v>
      </c>
      <c r="D10" s="1" t="s">
        <v>209</v>
      </c>
      <c r="E10" s="1"/>
      <c r="F10" s="1"/>
      <c r="G10" s="1"/>
      <c r="H10" s="4"/>
    </row>
    <row r="11" spans="2:8">
      <c r="B11" s="1" t="s">
        <v>33</v>
      </c>
      <c r="C11" s="1">
        <v>5</v>
      </c>
      <c r="D11" s="11">
        <v>100</v>
      </c>
      <c r="E11" s="1"/>
      <c r="F11" s="11"/>
      <c r="G11" s="1"/>
      <c r="H11" s="4"/>
    </row>
    <row r="12" spans="2:8">
      <c r="B12" t="s">
        <v>210</v>
      </c>
      <c r="C12">
        <v>12000</v>
      </c>
      <c r="H12" s="4"/>
    </row>
    <row r="13" spans="2:8">
      <c r="B13" t="s">
        <v>211</v>
      </c>
      <c r="C13">
        <v>10000</v>
      </c>
      <c r="H13" s="4"/>
    </row>
    <row r="14" spans="2:8">
      <c r="B14" t="s">
        <v>54</v>
      </c>
      <c r="C14">
        <v>6</v>
      </c>
      <c r="H14" s="4"/>
    </row>
    <row r="15" spans="2:8">
      <c r="B15" t="s">
        <v>34</v>
      </c>
      <c r="C15">
        <v>100</v>
      </c>
      <c r="H15" s="4"/>
    </row>
    <row r="16" spans="2:8">
      <c r="H16" s="4"/>
    </row>
    <row r="17" spans="2:8">
      <c r="B17" s="25" t="s">
        <v>35</v>
      </c>
      <c r="E17" t="s">
        <v>190</v>
      </c>
      <c r="H17" s="4"/>
    </row>
    <row r="18" spans="2:8">
      <c r="B18" t="s">
        <v>213</v>
      </c>
      <c r="C18">
        <v>20</v>
      </c>
      <c r="E18" t="s">
        <v>189</v>
      </c>
      <c r="F18" t="s">
        <v>242</v>
      </c>
    </row>
    <row r="19" spans="2:8">
      <c r="B19" t="s">
        <v>214</v>
      </c>
      <c r="C19">
        <v>10</v>
      </c>
    </row>
    <row r="20" spans="2:8">
      <c r="B20" t="s">
        <v>215</v>
      </c>
      <c r="C20">
        <v>4</v>
      </c>
      <c r="E20" t="s">
        <v>244</v>
      </c>
      <c r="F20" t="s">
        <v>243</v>
      </c>
    </row>
    <row r="21" spans="2:8">
      <c r="B21" t="s">
        <v>216</v>
      </c>
      <c r="C21">
        <v>350</v>
      </c>
    </row>
    <row r="22" spans="2:8">
      <c r="B22" t="s">
        <v>37</v>
      </c>
      <c r="C22">
        <v>0</v>
      </c>
    </row>
    <row r="23" spans="2:8">
      <c r="B23" t="s">
        <v>38</v>
      </c>
      <c r="C23">
        <v>0</v>
      </c>
    </row>
    <row r="25" spans="2:8">
      <c r="B25" s="25" t="s">
        <v>41</v>
      </c>
    </row>
    <row r="26" spans="2:8">
      <c r="B26" t="s">
        <v>218</v>
      </c>
      <c r="C26">
        <v>20</v>
      </c>
    </row>
    <row r="27" spans="2:8">
      <c r="B27" t="s">
        <v>219</v>
      </c>
      <c r="C27">
        <v>10</v>
      </c>
    </row>
    <row r="28" spans="2:8">
      <c r="B28" t="s">
        <v>220</v>
      </c>
      <c r="C28">
        <v>1</v>
      </c>
    </row>
    <row r="29" spans="2:8">
      <c r="B29" t="s">
        <v>221</v>
      </c>
      <c r="C29">
        <v>30000</v>
      </c>
    </row>
    <row r="30" spans="2:8">
      <c r="B30" t="s">
        <v>42</v>
      </c>
      <c r="C30">
        <v>0</v>
      </c>
    </row>
    <row r="31" spans="2:8">
      <c r="B31" t="s">
        <v>240</v>
      </c>
      <c r="C31">
        <v>0</v>
      </c>
    </row>
    <row r="32" spans="2:8">
      <c r="B32" t="s">
        <v>43</v>
      </c>
      <c r="C32">
        <v>0</v>
      </c>
    </row>
    <row r="33" spans="2:8">
      <c r="B33" t="s">
        <v>44</v>
      </c>
      <c r="C33">
        <v>20000</v>
      </c>
    </row>
    <row r="34" spans="2:8">
      <c r="B34" t="s">
        <v>45</v>
      </c>
      <c r="C34">
        <v>0</v>
      </c>
    </row>
    <row r="35" spans="2:8">
      <c r="B35" t="s">
        <v>46</v>
      </c>
      <c r="C35">
        <v>0</v>
      </c>
    </row>
    <row r="37" spans="2:8">
      <c r="B37" s="25" t="s">
        <v>51</v>
      </c>
    </row>
    <row r="38" spans="2:8">
      <c r="B38" t="s">
        <v>40</v>
      </c>
      <c r="C38">
        <v>0</v>
      </c>
    </row>
    <row r="39" spans="2:8">
      <c r="B39" t="s">
        <v>39</v>
      </c>
      <c r="C39">
        <v>0</v>
      </c>
    </row>
    <row r="40" spans="2:8">
      <c r="B40" t="s">
        <v>222</v>
      </c>
      <c r="C40">
        <v>0</v>
      </c>
      <c r="H40" s="4"/>
    </row>
    <row r="41" spans="2:8">
      <c r="B41" t="s">
        <v>217</v>
      </c>
      <c r="C41">
        <v>50000</v>
      </c>
      <c r="H41" s="4"/>
    </row>
    <row r="42" spans="2:8">
      <c r="B42" t="s">
        <v>52</v>
      </c>
      <c r="C42">
        <v>0</v>
      </c>
      <c r="H42" s="4"/>
    </row>
    <row r="43" spans="2:8">
      <c r="B43" t="s">
        <v>53</v>
      </c>
      <c r="C43">
        <v>0</v>
      </c>
      <c r="H43" s="4"/>
    </row>
    <row r="44" spans="2:8">
      <c r="C44">
        <v>0</v>
      </c>
      <c r="H44" s="4"/>
    </row>
    <row r="45" spans="2:8">
      <c r="B45" s="25" t="s">
        <v>81</v>
      </c>
    </row>
    <row r="46" spans="2:8">
      <c r="B46" t="s">
        <v>55</v>
      </c>
      <c r="C46">
        <v>5</v>
      </c>
    </row>
    <row r="47" spans="2:8">
      <c r="B47" t="s">
        <v>56</v>
      </c>
      <c r="C47">
        <v>11.5</v>
      </c>
    </row>
    <row r="48" spans="2:8">
      <c r="B48" t="s">
        <v>25</v>
      </c>
      <c r="C48">
        <v>7</v>
      </c>
    </row>
    <row r="49" spans="2:3">
      <c r="B49" t="s">
        <v>57</v>
      </c>
      <c r="C49">
        <v>35</v>
      </c>
    </row>
    <row r="51" spans="2:3">
      <c r="B51" s="25" t="s">
        <v>47</v>
      </c>
    </row>
    <row r="52" spans="2:3">
      <c r="B52" t="s">
        <v>49</v>
      </c>
      <c r="C52">
        <v>0</v>
      </c>
    </row>
    <row r="53" spans="2:3">
      <c r="B53" t="s">
        <v>48</v>
      </c>
      <c r="C53">
        <v>0</v>
      </c>
    </row>
    <row r="54" spans="2:3">
      <c r="B54" t="s">
        <v>50</v>
      </c>
      <c r="C54">
        <v>0</v>
      </c>
    </row>
    <row r="55" spans="2:3">
      <c r="B55" t="s">
        <v>48</v>
      </c>
      <c r="C55">
        <v>0</v>
      </c>
    </row>
    <row r="57" spans="2:3">
      <c r="B57" s="25" t="s">
        <v>58</v>
      </c>
    </row>
    <row r="58" spans="2:3">
      <c r="B58" t="s">
        <v>223</v>
      </c>
      <c r="C58">
        <v>0.3</v>
      </c>
    </row>
    <row r="59" spans="2:3">
      <c r="B59" t="s">
        <v>224</v>
      </c>
      <c r="C59">
        <v>0.2</v>
      </c>
    </row>
    <row r="60" spans="2:3">
      <c r="B60" t="s">
        <v>225</v>
      </c>
      <c r="C60">
        <v>0.1</v>
      </c>
    </row>
    <row r="61" spans="2:3">
      <c r="B61" t="s">
        <v>59</v>
      </c>
      <c r="C61">
        <v>23</v>
      </c>
    </row>
    <row r="62" spans="2:3">
      <c r="B62" t="s">
        <v>226</v>
      </c>
      <c r="C62">
        <v>50000</v>
      </c>
    </row>
    <row r="63" spans="2:3">
      <c r="B63" t="s">
        <v>62</v>
      </c>
      <c r="C63">
        <v>2</v>
      </c>
    </row>
    <row r="64" spans="2:3">
      <c r="B64" t="s">
        <v>61</v>
      </c>
      <c r="C64">
        <v>5000</v>
      </c>
    </row>
    <row r="65" spans="2:3">
      <c r="B65" t="s">
        <v>60</v>
      </c>
      <c r="C65">
        <v>3000</v>
      </c>
    </row>
    <row r="66" spans="2:3">
      <c r="B66" t="s">
        <v>227</v>
      </c>
      <c r="C66">
        <v>50</v>
      </c>
    </row>
    <row r="67" spans="2:3">
      <c r="B67" t="s">
        <v>228</v>
      </c>
      <c r="C67">
        <v>20</v>
      </c>
    </row>
    <row r="68" spans="2:3">
      <c r="B68" t="s">
        <v>63</v>
      </c>
      <c r="C68">
        <v>400</v>
      </c>
    </row>
    <row r="69" spans="2:3">
      <c r="B69" t="s">
        <v>64</v>
      </c>
      <c r="C69">
        <v>0</v>
      </c>
    </row>
    <row r="70" spans="2:3">
      <c r="B70" t="s">
        <v>65</v>
      </c>
      <c r="C70">
        <v>10</v>
      </c>
    </row>
    <row r="71" spans="2:3">
      <c r="B71" t="s">
        <v>66</v>
      </c>
      <c r="C71">
        <v>15</v>
      </c>
    </row>
    <row r="72" spans="2:3">
      <c r="B72" t="s">
        <v>241</v>
      </c>
      <c r="C72">
        <v>50</v>
      </c>
    </row>
    <row r="73" spans="2:3">
      <c r="B73" t="s">
        <v>76</v>
      </c>
      <c r="C73">
        <v>0</v>
      </c>
    </row>
    <row r="75" spans="2:3" s="25" customFormat="1">
      <c r="B75" s="25" t="s">
        <v>232</v>
      </c>
    </row>
    <row r="76" spans="2:3" s="25" customFormat="1">
      <c r="B76" s="14" t="s">
        <v>234</v>
      </c>
      <c r="C76" s="14">
        <v>8</v>
      </c>
    </row>
    <row r="77" spans="2:3" s="25" customFormat="1">
      <c r="B77" s="14" t="s">
        <v>233</v>
      </c>
      <c r="C77" s="14">
        <v>90</v>
      </c>
    </row>
    <row r="78" spans="2:3" s="25" customFormat="1">
      <c r="B78" s="14" t="s">
        <v>236</v>
      </c>
      <c r="C78" s="14">
        <v>80</v>
      </c>
    </row>
    <row r="79" spans="2:3" s="25" customFormat="1">
      <c r="B79" s="14" t="s">
        <v>235</v>
      </c>
      <c r="C79" s="14">
        <v>10</v>
      </c>
    </row>
    <row r="80" spans="2:3" s="25" customFormat="1">
      <c r="B80" s="14" t="s">
        <v>239</v>
      </c>
      <c r="C80" s="14">
        <v>2</v>
      </c>
    </row>
    <row r="81" spans="2:3" s="25" customFormat="1">
      <c r="B81" s="14" t="s">
        <v>238</v>
      </c>
      <c r="C81" s="14">
        <v>2</v>
      </c>
    </row>
    <row r="82" spans="2:3" s="25" customFormat="1">
      <c r="B82" s="14" t="s">
        <v>237</v>
      </c>
      <c r="C82" s="14">
        <v>11</v>
      </c>
    </row>
    <row r="83" spans="2:3" s="14" customFormat="1">
      <c r="B83" s="14" t="s">
        <v>271</v>
      </c>
      <c r="C83" s="14">
        <v>10</v>
      </c>
    </row>
    <row r="84" spans="2:3">
      <c r="B84" s="25" t="s">
        <v>67</v>
      </c>
    </row>
    <row r="85" spans="2:3">
      <c r="B85" t="s">
        <v>69</v>
      </c>
      <c r="C85">
        <v>1</v>
      </c>
    </row>
    <row r="86" spans="2:3">
      <c r="B86" t="s">
        <v>68</v>
      </c>
      <c r="C86">
        <v>10000</v>
      </c>
    </row>
    <row r="87" spans="2:3">
      <c r="B87" t="s">
        <v>70</v>
      </c>
      <c r="C87">
        <v>0</v>
      </c>
    </row>
    <row r="88" spans="2:3">
      <c r="B88" t="s">
        <v>75</v>
      </c>
      <c r="C88">
        <v>0</v>
      </c>
    </row>
    <row r="89" spans="2:3">
      <c r="B89" t="s">
        <v>71</v>
      </c>
      <c r="C89">
        <v>0</v>
      </c>
    </row>
    <row r="90" spans="2:3">
      <c r="B90" t="s">
        <v>74</v>
      </c>
      <c r="C90">
        <v>0</v>
      </c>
    </row>
    <row r="91" spans="2:3">
      <c r="B91" t="s">
        <v>72</v>
      </c>
      <c r="C91">
        <v>0</v>
      </c>
    </row>
    <row r="92" spans="2:3">
      <c r="B92" t="s">
        <v>73</v>
      </c>
      <c r="C92">
        <v>0</v>
      </c>
    </row>
    <row r="94" spans="2:3">
      <c r="B94" s="25" t="s">
        <v>77</v>
      </c>
    </row>
    <row r="95" spans="2:3">
      <c r="B95" t="s">
        <v>231</v>
      </c>
      <c r="C95">
        <v>8000</v>
      </c>
    </row>
    <row r="96" spans="2:3">
      <c r="B96" t="s">
        <v>230</v>
      </c>
      <c r="C96">
        <v>7000</v>
      </c>
    </row>
    <row r="97" spans="2:3">
      <c r="B97" t="s">
        <v>276</v>
      </c>
      <c r="C97">
        <v>7000</v>
      </c>
    </row>
    <row r="98" spans="2:3">
      <c r="B98" t="s">
        <v>229</v>
      </c>
      <c r="C98">
        <v>50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2:E52"/>
  <sheetViews>
    <sheetView topLeftCell="A21" workbookViewId="0">
      <selection activeCell="C37" sqref="C37"/>
    </sheetView>
  </sheetViews>
  <sheetFormatPr defaultRowHeight="14.4"/>
  <cols>
    <col min="2" max="2" width="48.44140625" customWidth="1"/>
    <col min="3" max="3" width="9" bestFit="1" customWidth="1"/>
  </cols>
  <sheetData>
    <row r="2" spans="2:5">
      <c r="B2" s="23" t="s">
        <v>78</v>
      </c>
    </row>
    <row r="5" spans="2:5">
      <c r="B5" s="25" t="s">
        <v>79</v>
      </c>
      <c r="E5" t="s">
        <v>191</v>
      </c>
    </row>
    <row r="6" spans="2:5">
      <c r="B6" t="s">
        <v>245</v>
      </c>
      <c r="C6">
        <f>'Techno Economic Parameters'!C11*'Techno Economic Parameters'!C12</f>
        <v>60000</v>
      </c>
    </row>
    <row r="7" spans="2:5">
      <c r="B7" t="s">
        <v>246</v>
      </c>
      <c r="C7">
        <f>ROUNDDOWN(('Techno Economic Parameters'!D11*'Techno Economic Parameters'!C13),-2)</f>
        <v>1000000</v>
      </c>
    </row>
    <row r="8" spans="2:5">
      <c r="B8" t="s">
        <v>247</v>
      </c>
      <c r="C8">
        <f>('Techno Economic Parameters'!C11*'Techno Economic Parameters'!C18*'Techno Economic Parameters'!C21)+('Techno Economic Parameters'!D11*'Techno Economic Parameters'!C19*'Techno Economic Parameters'!C21)</f>
        <v>385000</v>
      </c>
    </row>
    <row r="9" spans="2:5">
      <c r="B9" t="s">
        <v>248</v>
      </c>
      <c r="C9">
        <f>'Techno Economic Parameters'!D11*'Techno Economic Parameters'!C20*'Techno Economic Parameters'!C21</f>
        <v>140000</v>
      </c>
    </row>
    <row r="10" spans="2:5">
      <c r="B10" t="s">
        <v>80</v>
      </c>
      <c r="C10">
        <f>'Techno Economic Parameters'!C22*'Techno Economic Parameters'!C23</f>
        <v>0</v>
      </c>
    </row>
    <row r="11" spans="2:5">
      <c r="B11" t="s">
        <v>164</v>
      </c>
      <c r="C11">
        <f>'Techno Economic Parameters'!C38*'Techno Economic Parameters'!C39</f>
        <v>0</v>
      </c>
    </row>
    <row r="12" spans="2:5">
      <c r="B12" t="s">
        <v>249</v>
      </c>
      <c r="C12">
        <f>('Techno Economic Parameters'!C11+'Techno Economic Parameters'!D11)*'Techno Economic Parameters'!C26</f>
        <v>2100</v>
      </c>
    </row>
    <row r="13" spans="2:5">
      <c r="B13" t="s">
        <v>250</v>
      </c>
      <c r="C13">
        <f>'Techno Economic Parameters'!D11*'Techno Economic Parameters'!C27</f>
        <v>1000</v>
      </c>
    </row>
    <row r="14" spans="2:5">
      <c r="B14" t="s">
        <v>165</v>
      </c>
      <c r="C14">
        <f>'Techno Economic Parameters'!C28*'Techno Economic Parameters'!C29</f>
        <v>30000</v>
      </c>
    </row>
    <row r="15" spans="2:5">
      <c r="B15" t="s">
        <v>166</v>
      </c>
      <c r="C15">
        <f>'Techno Economic Parameters'!C30</f>
        <v>0</v>
      </c>
    </row>
    <row r="16" spans="2:5">
      <c r="B16" t="s">
        <v>251</v>
      </c>
      <c r="C16">
        <f>'Techno Economic Parameters'!C31</f>
        <v>0</v>
      </c>
    </row>
    <row r="17" spans="2:5">
      <c r="B17" t="s">
        <v>252</v>
      </c>
      <c r="C17">
        <f>'Techno Economic Parameters'!C32</f>
        <v>0</v>
      </c>
    </row>
    <row r="18" spans="2:5">
      <c r="B18" t="s">
        <v>44</v>
      </c>
      <c r="C18">
        <f>'Techno Economic Parameters'!C33</f>
        <v>20000</v>
      </c>
    </row>
    <row r="19" spans="2:5">
      <c r="B19" t="s">
        <v>167</v>
      </c>
      <c r="C19">
        <f>'Techno Economic Parameters'!C40</f>
        <v>0</v>
      </c>
    </row>
    <row r="20" spans="2:5">
      <c r="B20" t="s">
        <v>253</v>
      </c>
      <c r="C20">
        <f>'Techno Economic Parameters'!C41</f>
        <v>50000</v>
      </c>
    </row>
    <row r="21" spans="2:5">
      <c r="B21" t="s">
        <v>168</v>
      </c>
      <c r="C21">
        <f>'Techno Economic Parameters'!C42</f>
        <v>0</v>
      </c>
    </row>
    <row r="22" spans="2:5">
      <c r="B22" t="s">
        <v>169</v>
      </c>
      <c r="C22">
        <f>'Techno Economic Parameters'!C43</f>
        <v>0</v>
      </c>
    </row>
    <row r="23" spans="2:5">
      <c r="B23" t="s">
        <v>82</v>
      </c>
      <c r="C23">
        <f>(('Techno Economic Parameters'!C52*'Techno Economic Parameters'!C53)+('Techno Economic Parameters'!C54+'Techno Economic Parameters'!C55))</f>
        <v>0</v>
      </c>
    </row>
    <row r="24" spans="2:5">
      <c r="B24" t="s">
        <v>170</v>
      </c>
      <c r="C24">
        <f>'Techno Economic Parameters'!C34</f>
        <v>0</v>
      </c>
    </row>
    <row r="25" spans="2:5">
      <c r="B25" t="s">
        <v>171</v>
      </c>
      <c r="C25">
        <f>'Techno Economic Parameters'!C35</f>
        <v>0</v>
      </c>
    </row>
    <row r="27" spans="2:5">
      <c r="B27" s="25" t="s">
        <v>83</v>
      </c>
      <c r="C27" s="25">
        <f>ROUNDDOWN(SUM(C6:C26),-2)</f>
        <v>1688100</v>
      </c>
    </row>
    <row r="29" spans="2:5">
      <c r="B29" s="25" t="s">
        <v>254</v>
      </c>
      <c r="E29" t="s">
        <v>192</v>
      </c>
    </row>
    <row r="30" spans="2:5">
      <c r="B30" t="s">
        <v>84</v>
      </c>
      <c r="C30">
        <f>(C6+C7)*'Techno Economic Parameters'!C14%</f>
        <v>63600</v>
      </c>
    </row>
    <row r="31" spans="2:5">
      <c r="B31" s="3" t="s">
        <v>85</v>
      </c>
      <c r="C31">
        <f>('Techno Economic Parameters'!C11+'Techno Economic Parameters'!D11)*'Techno Economic Parameters'!C15</f>
        <v>10500</v>
      </c>
    </row>
    <row r="32" spans="2:5">
      <c r="B32" t="s">
        <v>86</v>
      </c>
      <c r="C32" s="5">
        <f>((('Techno Economic Parameters'!C11*'Techno Economic Parameters'!C58)+('Techno Economic Parameters'!D11*'Techno Economic Parameters'!C59)+('Techno Economic Parameters'!D11*4*'Techno Economic Parameters'!C60))*'Techno Economic Parameters'!C61)*365</f>
        <v>516292.5</v>
      </c>
    </row>
    <row r="33" spans="2:3">
      <c r="B33" t="s">
        <v>87</v>
      </c>
      <c r="C33">
        <f>'Techno Economic Parameters'!C62</f>
        <v>50000</v>
      </c>
    </row>
    <row r="34" spans="2:3">
      <c r="B34" t="s">
        <v>88</v>
      </c>
      <c r="C34">
        <f>'Techno Economic Parameters'!C63*'Techno Economic Parameters'!C64</f>
        <v>10000</v>
      </c>
    </row>
    <row r="35" spans="2:3">
      <c r="B35" t="s">
        <v>93</v>
      </c>
      <c r="C35">
        <f>((('Techno Economic Parameters'!C85*'Techno Economic Parameters'!C86)+('Techno Economic Parameters'!C87*'Techno Economic Parameters'!C88)+('Techno Economic Parameters'!C89*'Techno Economic Parameters'!C90)+('Techno Economic Parameters'!C91*'Techno Economic Parameters'!C92))*12)</f>
        <v>120000</v>
      </c>
    </row>
    <row r="36" spans="2:3">
      <c r="B36" t="s">
        <v>89</v>
      </c>
      <c r="C36">
        <f>((('Techno Economic Parameters'!C11+'Techno Economic Parameters'!D11)*'Techno Economic Parameters'!C66)+('Techno Economic Parameters'!D11*4*'Techno Economic Parameters'!C67))</f>
        <v>13250</v>
      </c>
    </row>
    <row r="37" spans="2:3">
      <c r="B37" t="s">
        <v>90</v>
      </c>
      <c r="C37">
        <f>'Techno Economic Parameters'!C68*12</f>
        <v>4800</v>
      </c>
    </row>
    <row r="38" spans="2:3">
      <c r="B38" t="s">
        <v>91</v>
      </c>
      <c r="C38">
        <f>'Techno Economic Parameters'!C69*12</f>
        <v>0</v>
      </c>
    </row>
    <row r="39" spans="2:3">
      <c r="B39" t="s">
        <v>92</v>
      </c>
      <c r="C39">
        <f>'Techno Economic Parameters'!C72*('Techno Economic Parameters'!C11+'Techno Economic Parameters'!D11)</f>
        <v>5250</v>
      </c>
    </row>
    <row r="40" spans="2:3">
      <c r="B40" t="s">
        <v>94</v>
      </c>
      <c r="C40">
        <f>'Techno Economic Parameters'!C73</f>
        <v>0</v>
      </c>
    </row>
    <row r="45" spans="2:3">
      <c r="B45" s="25" t="s">
        <v>95</v>
      </c>
      <c r="C45" s="25">
        <f>ROUNDDOWN(SUM(C30:C44),-2)</f>
        <v>793600</v>
      </c>
    </row>
    <row r="46" spans="2:3">
      <c r="B46" s="25" t="s">
        <v>96</v>
      </c>
      <c r="C46" s="25">
        <f>ROUNDDOWN((C27+C45),-2)</f>
        <v>2481700</v>
      </c>
    </row>
    <row r="48" spans="2:3">
      <c r="B48" s="25" t="s">
        <v>10</v>
      </c>
    </row>
    <row r="49" spans="2:5">
      <c r="B49" s="1" t="s">
        <v>97</v>
      </c>
      <c r="C49">
        <f>C46-C50</f>
        <v>2357615</v>
      </c>
    </row>
    <row r="50" spans="2:5">
      <c r="B50" s="1" t="s">
        <v>98</v>
      </c>
      <c r="C50">
        <f>C46*'Techno Economic Parameters'!C46%</f>
        <v>124085</v>
      </c>
    </row>
    <row r="51" spans="2:5">
      <c r="B51" s="1" t="s">
        <v>99</v>
      </c>
      <c r="C51">
        <f>C49+C50</f>
        <v>2481700</v>
      </c>
      <c r="E51" t="s">
        <v>193</v>
      </c>
    </row>
    <row r="52" spans="2:5">
      <c r="B52" s="1" t="s">
        <v>100</v>
      </c>
      <c r="C52">
        <f>C46*'Techno Economic Parameters'!C49%</f>
        <v>868595</v>
      </c>
      <c r="E52" t="s">
        <v>194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2:J20"/>
  <sheetViews>
    <sheetView workbookViewId="0">
      <selection activeCell="C23" sqref="C23"/>
    </sheetView>
  </sheetViews>
  <sheetFormatPr defaultRowHeight="14.4"/>
  <cols>
    <col min="1" max="1" width="11.6640625" customWidth="1"/>
    <col min="2" max="2" width="37.88671875" customWidth="1"/>
    <col min="3" max="3" width="17.44140625" customWidth="1"/>
    <col min="4" max="4" width="10.5546875" customWidth="1"/>
  </cols>
  <sheetData>
    <row r="2" spans="2:10">
      <c r="D2" s="23" t="s">
        <v>255</v>
      </c>
    </row>
    <row r="4" spans="2:10">
      <c r="D4" s="23"/>
    </row>
    <row r="6" spans="2:10">
      <c r="B6" s="1" t="s">
        <v>256</v>
      </c>
      <c r="D6" s="1" t="s">
        <v>101</v>
      </c>
      <c r="E6" s="1" t="s">
        <v>102</v>
      </c>
      <c r="F6" s="1" t="s">
        <v>103</v>
      </c>
      <c r="G6" s="1" t="s">
        <v>104</v>
      </c>
      <c r="H6" s="1" t="s">
        <v>105</v>
      </c>
      <c r="I6" s="1" t="s">
        <v>106</v>
      </c>
      <c r="J6" s="1" t="s">
        <v>107</v>
      </c>
    </row>
    <row r="7" spans="2:10">
      <c r="B7" s="1" t="s">
        <v>257</v>
      </c>
      <c r="C7" s="10">
        <f>'Techno Economic Parameters'!D11</f>
        <v>100</v>
      </c>
      <c r="D7" s="10"/>
      <c r="E7" s="10"/>
      <c r="F7" s="10"/>
      <c r="G7" s="10"/>
      <c r="H7" s="10"/>
      <c r="I7" s="10"/>
      <c r="J7" s="10"/>
    </row>
    <row r="8" spans="2:10">
      <c r="B8" s="1" t="s">
        <v>258</v>
      </c>
      <c r="C8" s="10">
        <f>'Techno Economic Parameters'!C11</f>
        <v>5</v>
      </c>
      <c r="D8" s="10"/>
      <c r="E8" s="10"/>
      <c r="F8" s="10"/>
      <c r="G8" s="10"/>
      <c r="H8" s="10"/>
      <c r="I8" s="10"/>
      <c r="J8" s="10"/>
    </row>
    <row r="9" spans="2:10">
      <c r="B9" s="1" t="s">
        <v>259</v>
      </c>
      <c r="C9" s="10">
        <f>'Techno Economic Parameters'!C81</f>
        <v>2</v>
      </c>
      <c r="D9" s="10">
        <f t="shared" ref="D9:D20" si="0">C9</f>
        <v>2</v>
      </c>
      <c r="E9" s="10">
        <f t="shared" ref="E9:J9" si="1">D9</f>
        <v>2</v>
      </c>
      <c r="F9" s="10">
        <f t="shared" si="1"/>
        <v>2</v>
      </c>
      <c r="G9" s="10">
        <f t="shared" si="1"/>
        <v>2</v>
      </c>
      <c r="H9" s="10">
        <f t="shared" si="1"/>
        <v>2</v>
      </c>
      <c r="I9" s="10">
        <f t="shared" si="1"/>
        <v>2</v>
      </c>
      <c r="J9" s="10">
        <f t="shared" si="1"/>
        <v>2</v>
      </c>
    </row>
    <row r="10" spans="2:10">
      <c r="B10" s="1" t="s">
        <v>260</v>
      </c>
      <c r="C10" s="40">
        <f>'Techno Economic Parameters'!C80</f>
        <v>2</v>
      </c>
      <c r="D10" s="40">
        <f t="shared" si="0"/>
        <v>2</v>
      </c>
      <c r="E10" s="40">
        <f t="shared" ref="E10:J10" si="2">D10</f>
        <v>2</v>
      </c>
      <c r="F10" s="40">
        <f t="shared" si="2"/>
        <v>2</v>
      </c>
      <c r="G10" s="40">
        <f t="shared" si="2"/>
        <v>2</v>
      </c>
      <c r="H10" s="40">
        <f t="shared" si="2"/>
        <v>2</v>
      </c>
      <c r="I10" s="40">
        <f t="shared" si="2"/>
        <v>2</v>
      </c>
      <c r="J10" s="40">
        <f t="shared" si="2"/>
        <v>2</v>
      </c>
    </row>
    <row r="11" spans="2:10">
      <c r="B11" s="1" t="s">
        <v>261</v>
      </c>
      <c r="C11" s="10">
        <f>(C7*C10*C9)/2</f>
        <v>200</v>
      </c>
      <c r="D11" s="10">
        <f t="shared" si="0"/>
        <v>200</v>
      </c>
      <c r="E11" s="10">
        <f t="shared" ref="E11:J11" si="3">D11</f>
        <v>200</v>
      </c>
      <c r="F11" s="10">
        <f t="shared" si="3"/>
        <v>200</v>
      </c>
      <c r="G11" s="10">
        <f t="shared" si="3"/>
        <v>200</v>
      </c>
      <c r="H11" s="10">
        <f t="shared" si="3"/>
        <v>200</v>
      </c>
      <c r="I11" s="10">
        <f t="shared" si="3"/>
        <v>200</v>
      </c>
      <c r="J11" s="10">
        <f t="shared" si="3"/>
        <v>200</v>
      </c>
    </row>
    <row r="12" spans="2:10">
      <c r="B12" s="1" t="s">
        <v>262</v>
      </c>
      <c r="C12" s="10">
        <f>C11*'Techno Economic Parameters'!C83%</f>
        <v>20</v>
      </c>
      <c r="D12" s="10">
        <f t="shared" si="0"/>
        <v>20</v>
      </c>
      <c r="E12" s="10">
        <f t="shared" ref="E12:J12" si="4">D12</f>
        <v>20</v>
      </c>
      <c r="F12" s="10">
        <f t="shared" si="4"/>
        <v>20</v>
      </c>
      <c r="G12" s="10">
        <f t="shared" si="4"/>
        <v>20</v>
      </c>
      <c r="H12" s="10">
        <f t="shared" si="4"/>
        <v>20</v>
      </c>
      <c r="I12" s="10">
        <f t="shared" si="4"/>
        <v>20</v>
      </c>
      <c r="J12" s="10">
        <f t="shared" si="4"/>
        <v>20</v>
      </c>
    </row>
    <row r="13" spans="2:10">
      <c r="B13" s="1" t="s">
        <v>263</v>
      </c>
      <c r="C13" s="10">
        <f>(C7*C10*C9)/2</f>
        <v>200</v>
      </c>
      <c r="D13" s="10">
        <f t="shared" si="0"/>
        <v>200</v>
      </c>
      <c r="E13" s="10">
        <f t="shared" ref="E13:J13" si="5">D13</f>
        <v>200</v>
      </c>
      <c r="F13" s="10">
        <f t="shared" si="5"/>
        <v>200</v>
      </c>
      <c r="G13" s="10">
        <f t="shared" si="5"/>
        <v>200</v>
      </c>
      <c r="H13" s="10">
        <f t="shared" si="5"/>
        <v>200</v>
      </c>
      <c r="I13" s="10">
        <f t="shared" si="5"/>
        <v>200</v>
      </c>
      <c r="J13" s="10">
        <f t="shared" si="5"/>
        <v>200</v>
      </c>
    </row>
    <row r="14" spans="2:10">
      <c r="B14" s="1" t="s">
        <v>264</v>
      </c>
      <c r="C14" s="10">
        <f>C13*'Techno Economic Parameters'!C83%</f>
        <v>20</v>
      </c>
      <c r="D14" s="10">
        <f t="shared" si="0"/>
        <v>20</v>
      </c>
      <c r="E14" s="10">
        <f t="shared" ref="E14:J14" si="6">D14</f>
        <v>20</v>
      </c>
      <c r="F14" s="10">
        <f t="shared" si="6"/>
        <v>20</v>
      </c>
      <c r="G14" s="10">
        <f t="shared" si="6"/>
        <v>20</v>
      </c>
      <c r="H14" s="10">
        <f t="shared" si="6"/>
        <v>20</v>
      </c>
      <c r="I14" s="10">
        <f t="shared" si="6"/>
        <v>20</v>
      </c>
      <c r="J14" s="10">
        <f t="shared" si="6"/>
        <v>20</v>
      </c>
    </row>
    <row r="15" spans="2:10">
      <c r="B15" s="1" t="s">
        <v>267</v>
      </c>
      <c r="C15" s="10">
        <f>(C11*2%)/2</f>
        <v>2</v>
      </c>
      <c r="D15" s="10">
        <f t="shared" si="0"/>
        <v>2</v>
      </c>
      <c r="E15" s="10">
        <f t="shared" ref="E15:J15" si="7">D15</f>
        <v>2</v>
      </c>
      <c r="F15" s="10">
        <f t="shared" si="7"/>
        <v>2</v>
      </c>
      <c r="G15" s="10">
        <f t="shared" si="7"/>
        <v>2</v>
      </c>
      <c r="H15" s="10">
        <f t="shared" si="7"/>
        <v>2</v>
      </c>
      <c r="I15" s="10">
        <f t="shared" si="7"/>
        <v>2</v>
      </c>
      <c r="J15" s="10">
        <f t="shared" si="7"/>
        <v>2</v>
      </c>
    </row>
    <row r="16" spans="2:10">
      <c r="B16" s="1" t="s">
        <v>268</v>
      </c>
      <c r="C16" s="10">
        <f>C13*2%</f>
        <v>4</v>
      </c>
      <c r="D16" s="10">
        <f t="shared" si="0"/>
        <v>4</v>
      </c>
      <c r="E16" s="10">
        <f t="shared" ref="E16:J16" si="8">D16</f>
        <v>4</v>
      </c>
      <c r="F16" s="10">
        <f t="shared" si="8"/>
        <v>4</v>
      </c>
      <c r="G16" s="10">
        <f t="shared" si="8"/>
        <v>4</v>
      </c>
      <c r="H16" s="10">
        <f t="shared" si="8"/>
        <v>4</v>
      </c>
      <c r="I16" s="10">
        <f t="shared" si="8"/>
        <v>4</v>
      </c>
      <c r="J16" s="10">
        <f t="shared" si="8"/>
        <v>4</v>
      </c>
    </row>
    <row r="17" spans="2:10">
      <c r="B17" s="1" t="s">
        <v>265</v>
      </c>
      <c r="C17" s="11">
        <f>C11-(C12+C15)</f>
        <v>178</v>
      </c>
      <c r="D17" s="11">
        <f t="shared" si="0"/>
        <v>178</v>
      </c>
      <c r="E17" s="11">
        <f t="shared" ref="E17:J17" si="9">D17</f>
        <v>178</v>
      </c>
      <c r="F17" s="11">
        <f t="shared" si="9"/>
        <v>178</v>
      </c>
      <c r="G17" s="11">
        <f t="shared" si="9"/>
        <v>178</v>
      </c>
      <c r="H17" s="11">
        <f t="shared" si="9"/>
        <v>178</v>
      </c>
      <c r="I17" s="11">
        <f t="shared" si="9"/>
        <v>178</v>
      </c>
      <c r="J17" s="11">
        <f t="shared" si="9"/>
        <v>178</v>
      </c>
    </row>
    <row r="18" spans="2:10">
      <c r="B18" s="1" t="s">
        <v>266</v>
      </c>
      <c r="C18" s="11">
        <f>C13-(C14+C16)</f>
        <v>176</v>
      </c>
      <c r="D18" s="11">
        <f t="shared" si="0"/>
        <v>176</v>
      </c>
      <c r="E18" s="11">
        <f t="shared" ref="E18:J18" si="10">D18</f>
        <v>176</v>
      </c>
      <c r="F18" s="11">
        <f t="shared" si="10"/>
        <v>176</v>
      </c>
      <c r="G18" s="11">
        <f t="shared" si="10"/>
        <v>176</v>
      </c>
      <c r="H18" s="11">
        <f t="shared" si="10"/>
        <v>176</v>
      </c>
      <c r="I18" s="11">
        <f t="shared" si="10"/>
        <v>176</v>
      </c>
      <c r="J18" s="11">
        <f t="shared" si="10"/>
        <v>176</v>
      </c>
    </row>
    <row r="19" spans="2:10">
      <c r="B19" s="1" t="s">
        <v>269</v>
      </c>
      <c r="C19" s="10">
        <f>C15/2</f>
        <v>1</v>
      </c>
      <c r="D19" s="10">
        <f t="shared" si="0"/>
        <v>1</v>
      </c>
      <c r="E19" s="10">
        <f t="shared" ref="E19:J19" si="11">D19</f>
        <v>1</v>
      </c>
      <c r="F19" s="10">
        <f t="shared" si="11"/>
        <v>1</v>
      </c>
      <c r="G19" s="10">
        <f t="shared" si="11"/>
        <v>1</v>
      </c>
      <c r="H19" s="10">
        <f t="shared" si="11"/>
        <v>1</v>
      </c>
      <c r="I19" s="10">
        <f t="shared" si="11"/>
        <v>1</v>
      </c>
      <c r="J19" s="10">
        <f t="shared" si="11"/>
        <v>1</v>
      </c>
    </row>
    <row r="20" spans="2:10">
      <c r="B20" s="1" t="s">
        <v>270</v>
      </c>
      <c r="C20" s="10">
        <f>C16</f>
        <v>4</v>
      </c>
      <c r="D20" s="10">
        <f t="shared" si="0"/>
        <v>4</v>
      </c>
      <c r="E20" s="10">
        <f t="shared" ref="E20:J20" si="12">D20</f>
        <v>4</v>
      </c>
      <c r="F20" s="10">
        <f t="shared" si="12"/>
        <v>4</v>
      </c>
      <c r="G20" s="10">
        <f t="shared" si="12"/>
        <v>4</v>
      </c>
      <c r="H20" s="10">
        <f t="shared" si="12"/>
        <v>4</v>
      </c>
      <c r="I20" s="10">
        <f t="shared" si="12"/>
        <v>4</v>
      </c>
      <c r="J20" s="10">
        <f t="shared" si="12"/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I35"/>
  <sheetViews>
    <sheetView topLeftCell="A7" workbookViewId="0">
      <selection activeCell="C17" sqref="C17"/>
    </sheetView>
  </sheetViews>
  <sheetFormatPr defaultRowHeight="14.4"/>
  <cols>
    <col min="2" max="2" width="29.88671875" customWidth="1"/>
    <col min="3" max="3" width="11.6640625" customWidth="1"/>
    <col min="4" max="4" width="10.21875" customWidth="1"/>
    <col min="5" max="5" width="11.21875" customWidth="1"/>
    <col min="6" max="6" width="10.33203125" customWidth="1"/>
    <col min="7" max="7" width="10.109375" customWidth="1"/>
    <col min="8" max="8" width="10.5546875" customWidth="1"/>
    <col min="9" max="9" width="10.6640625" customWidth="1"/>
  </cols>
  <sheetData>
    <row r="2" spans="2:9">
      <c r="C2" s="23" t="s">
        <v>108</v>
      </c>
    </row>
    <row r="4" spans="2:9">
      <c r="C4" s="1" t="s">
        <v>101</v>
      </c>
      <c r="D4" s="1" t="s">
        <v>102</v>
      </c>
      <c r="E4" s="1" t="s">
        <v>103</v>
      </c>
      <c r="F4" s="1" t="s">
        <v>104</v>
      </c>
      <c r="G4" s="1" t="s">
        <v>105</v>
      </c>
      <c r="H4" s="1" t="s">
        <v>106</v>
      </c>
      <c r="I4" s="1" t="s">
        <v>107</v>
      </c>
    </row>
    <row r="5" spans="2:9">
      <c r="B5" s="25" t="s">
        <v>109</v>
      </c>
    </row>
    <row r="6" spans="2:9">
      <c r="B6" t="s">
        <v>84</v>
      </c>
      <c r="C6">
        <f>Investment!$C$30</f>
        <v>63600</v>
      </c>
      <c r="D6">
        <f>Investment!$C$30</f>
        <v>63600</v>
      </c>
      <c r="E6">
        <f>Investment!$C$30</f>
        <v>63600</v>
      </c>
      <c r="F6">
        <f>Investment!$C$30</f>
        <v>63600</v>
      </c>
      <c r="G6">
        <f>Investment!$C$30</f>
        <v>63600</v>
      </c>
      <c r="H6">
        <f>Investment!$C$30</f>
        <v>63600</v>
      </c>
      <c r="I6">
        <f>Investment!$C$30</f>
        <v>63600</v>
      </c>
    </row>
    <row r="7" spans="2:9">
      <c r="B7" t="s">
        <v>85</v>
      </c>
      <c r="C7">
        <f>Investment!C31</f>
        <v>10500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2:9">
      <c r="B8" t="s">
        <v>86</v>
      </c>
      <c r="C8" s="5">
        <f>Investment!$C$32</f>
        <v>516292.5</v>
      </c>
      <c r="D8" s="5">
        <f>Investment!$C$32</f>
        <v>516292.5</v>
      </c>
      <c r="E8" s="5">
        <f>Investment!$C$32</f>
        <v>516292.5</v>
      </c>
      <c r="F8" s="5">
        <f>Investment!$C$32</f>
        <v>516292.5</v>
      </c>
      <c r="G8" s="5">
        <f>Investment!$C$32</f>
        <v>516292.5</v>
      </c>
      <c r="H8" s="5">
        <f>Investment!$C$32</f>
        <v>516292.5</v>
      </c>
      <c r="I8" s="5">
        <f>Investment!$C$32</f>
        <v>516292.5</v>
      </c>
    </row>
    <row r="9" spans="2:9">
      <c r="B9" t="s">
        <v>87</v>
      </c>
      <c r="C9">
        <f>Investment!$C$33</f>
        <v>50000</v>
      </c>
      <c r="D9">
        <f>Investment!$C$33</f>
        <v>50000</v>
      </c>
      <c r="E9">
        <f>Investment!$C$33</f>
        <v>50000</v>
      </c>
      <c r="F9">
        <f>Investment!$C$33</f>
        <v>50000</v>
      </c>
      <c r="G9">
        <f>Investment!$C$33</f>
        <v>50000</v>
      </c>
      <c r="H9">
        <f>Investment!$C$33</f>
        <v>50000</v>
      </c>
      <c r="I9">
        <f>Investment!$C$33</f>
        <v>50000</v>
      </c>
    </row>
    <row r="10" spans="2:9">
      <c r="B10" t="s">
        <v>88</v>
      </c>
      <c r="C10">
        <f>Investment!$C$34</f>
        <v>10000</v>
      </c>
      <c r="D10">
        <f>Investment!$C$34</f>
        <v>10000</v>
      </c>
      <c r="E10">
        <f>Investment!$C$34</f>
        <v>10000</v>
      </c>
      <c r="F10">
        <f>Investment!$C$34</f>
        <v>10000</v>
      </c>
      <c r="G10">
        <f>Investment!$C$34</f>
        <v>10000</v>
      </c>
      <c r="H10">
        <f>Investment!$C$34</f>
        <v>10000</v>
      </c>
      <c r="I10">
        <f>Investment!$C$34</f>
        <v>10000</v>
      </c>
    </row>
    <row r="11" spans="2:9">
      <c r="B11" t="s">
        <v>93</v>
      </c>
      <c r="C11">
        <f>((('Techno Economic Parameters'!$C$85*'Techno Economic Parameters'!$C$86)+('Techno Economic Parameters'!$C$87*'Techno Economic Parameters'!$C$88)+('Techno Economic Parameters'!$C$89*'Techno Economic Parameters'!$C$90)+('Techno Economic Parameters'!$C$91*'Techno Economic Parameters'!$C$92))*12)</f>
        <v>120000</v>
      </c>
      <c r="D11">
        <f>((('Techno Economic Parameters'!$C$85*'Techno Economic Parameters'!$C$86)+('Techno Economic Parameters'!$C$87*'Techno Economic Parameters'!$C$88)+('Techno Economic Parameters'!$C$89*'Techno Economic Parameters'!$C$90)+('Techno Economic Parameters'!$C$91*'Techno Economic Parameters'!$C$92))*12)</f>
        <v>120000</v>
      </c>
      <c r="E11">
        <f>((('Techno Economic Parameters'!$C$85*'Techno Economic Parameters'!$C$86)+('Techno Economic Parameters'!$C$87*'Techno Economic Parameters'!$C$88)+('Techno Economic Parameters'!$C$89*'Techno Economic Parameters'!$C$90)+('Techno Economic Parameters'!$C$91*'Techno Economic Parameters'!$C$92))*12)</f>
        <v>120000</v>
      </c>
      <c r="F11">
        <f>((('Techno Economic Parameters'!$C$85*'Techno Economic Parameters'!$C$86)+('Techno Economic Parameters'!$C$87*'Techno Economic Parameters'!$C$88)+('Techno Economic Parameters'!$C$89*'Techno Economic Parameters'!$C$90)+('Techno Economic Parameters'!$C$91*'Techno Economic Parameters'!$C$92))*12)</f>
        <v>120000</v>
      </c>
      <c r="G11">
        <f>((('Techno Economic Parameters'!$C$85*'Techno Economic Parameters'!$C$86)+('Techno Economic Parameters'!$C$87*'Techno Economic Parameters'!$C$88)+('Techno Economic Parameters'!$C$89*'Techno Economic Parameters'!$C$90)+('Techno Economic Parameters'!$C$91*'Techno Economic Parameters'!$C$92))*12)</f>
        <v>120000</v>
      </c>
      <c r="H11">
        <f>((('Techno Economic Parameters'!$C$85*'Techno Economic Parameters'!$C$86)+('Techno Economic Parameters'!$C$87*'Techno Economic Parameters'!$C$88)+('Techno Economic Parameters'!$C$89*'Techno Economic Parameters'!$C$90)+('Techno Economic Parameters'!$C$91*'Techno Economic Parameters'!$C$92))*12)</f>
        <v>120000</v>
      </c>
      <c r="I11">
        <f>((('Techno Economic Parameters'!$C$85*'Techno Economic Parameters'!$C$86)+('Techno Economic Parameters'!$C$87*'Techno Economic Parameters'!$C$88)+('Techno Economic Parameters'!$C$89*'Techno Economic Parameters'!$C$90)+('Techno Economic Parameters'!$C$91*'Techno Economic Parameters'!$C$92))*12)</f>
        <v>120000</v>
      </c>
    </row>
    <row r="12" spans="2:9">
      <c r="B12" t="s">
        <v>89</v>
      </c>
      <c r="C12">
        <f>Investment!$C$36</f>
        <v>13250</v>
      </c>
      <c r="D12">
        <f>Investment!$C$36</f>
        <v>13250</v>
      </c>
      <c r="E12">
        <f>Investment!$C$36</f>
        <v>13250</v>
      </c>
      <c r="F12">
        <f>Investment!$C$36</f>
        <v>13250</v>
      </c>
      <c r="G12">
        <f>Investment!$C$36</f>
        <v>13250</v>
      </c>
      <c r="H12">
        <f>Investment!$C$36</f>
        <v>13250</v>
      </c>
      <c r="I12">
        <f>Investment!$C$36</f>
        <v>13250</v>
      </c>
    </row>
    <row r="13" spans="2:9">
      <c r="B13" t="s">
        <v>90</v>
      </c>
      <c r="C13">
        <f>Investment!$C$37</f>
        <v>4800</v>
      </c>
      <c r="D13">
        <f>Investment!$C$37</f>
        <v>4800</v>
      </c>
      <c r="E13">
        <f>Investment!$C$37</f>
        <v>4800</v>
      </c>
      <c r="F13">
        <f>Investment!$C$37</f>
        <v>4800</v>
      </c>
      <c r="G13">
        <f>Investment!$C$37</f>
        <v>4800</v>
      </c>
      <c r="H13">
        <f>Investment!$C$37</f>
        <v>4800</v>
      </c>
      <c r="I13">
        <f>Investment!$C$37</f>
        <v>4800</v>
      </c>
    </row>
    <row r="14" spans="2:9">
      <c r="B14" t="s">
        <v>91</v>
      </c>
      <c r="C14">
        <f>Investment!$C$38</f>
        <v>0</v>
      </c>
      <c r="D14">
        <f>Investment!$C$38</f>
        <v>0</v>
      </c>
      <c r="E14">
        <f>Investment!$C$38</f>
        <v>0</v>
      </c>
      <c r="F14">
        <f>Investment!$C$38</f>
        <v>0</v>
      </c>
      <c r="G14">
        <f>Investment!$C$38</f>
        <v>0</v>
      </c>
      <c r="H14">
        <f>Investment!$C$38</f>
        <v>0</v>
      </c>
      <c r="I14">
        <f>Investment!$C$38</f>
        <v>0</v>
      </c>
    </row>
    <row r="15" spans="2:9">
      <c r="B15" t="s">
        <v>92</v>
      </c>
      <c r="C15">
        <f>Investment!$C$39</f>
        <v>5250</v>
      </c>
      <c r="D15">
        <f>Investment!$C$39</f>
        <v>5250</v>
      </c>
      <c r="E15">
        <f>Investment!$C$39</f>
        <v>5250</v>
      </c>
      <c r="F15">
        <f>Investment!$C$39</f>
        <v>5250</v>
      </c>
      <c r="G15">
        <f>Investment!$C$39</f>
        <v>5250</v>
      </c>
      <c r="H15">
        <f>Investment!$C$39</f>
        <v>5250</v>
      </c>
      <c r="I15">
        <f>Investment!$C$39</f>
        <v>5250</v>
      </c>
    </row>
    <row r="16" spans="2:9">
      <c r="B16" t="s">
        <v>94</v>
      </c>
      <c r="C16">
        <f>Investment!$C$40</f>
        <v>0</v>
      </c>
      <c r="D16">
        <f>Investment!$C$40</f>
        <v>0</v>
      </c>
      <c r="E16">
        <f>Investment!$C$40</f>
        <v>0</v>
      </c>
      <c r="F16">
        <f>Investment!$C$40</f>
        <v>0</v>
      </c>
      <c r="G16">
        <f>Investment!$C$40</f>
        <v>0</v>
      </c>
      <c r="H16">
        <f>Investment!$C$40</f>
        <v>0</v>
      </c>
      <c r="I16">
        <f>Investment!$C$40</f>
        <v>0</v>
      </c>
    </row>
    <row r="17" spans="2:9">
      <c r="B17" s="14" t="s">
        <v>113</v>
      </c>
      <c r="C17" s="5">
        <f>SUM(Repayment!E11:E22)</f>
        <v>271125.72000000003</v>
      </c>
      <c r="D17" s="5">
        <f>SUM(Repayment!E23:E34)</f>
        <v>259109.64999999997</v>
      </c>
      <c r="E17" s="5">
        <f>SUM(Repayment!E35:E46)</f>
        <v>230882.61000000002</v>
      </c>
      <c r="F17" s="5">
        <f>SUM(Repayment!E47:E58)</f>
        <v>199232.80000000002</v>
      </c>
      <c r="G17" s="5">
        <f>SUM(Repayment!E59:E70)</f>
        <v>163745.12999999998</v>
      </c>
      <c r="H17" s="5">
        <f>SUM(Repayment!E71:E82)</f>
        <v>123954.28</v>
      </c>
      <c r="I17" s="5">
        <f>SUM(Repayment!E83:E94)</f>
        <v>79338.41</v>
      </c>
    </row>
    <row r="18" spans="2:9" s="3" customFormat="1">
      <c r="B18" s="3" t="s">
        <v>115</v>
      </c>
      <c r="C18" s="12">
        <f>Depreciation!C4</f>
        <v>52500</v>
      </c>
      <c r="D18" s="12">
        <f>Depreciation!C5</f>
        <v>47250</v>
      </c>
      <c r="E18" s="12">
        <f>Depreciation!C6</f>
        <v>42525</v>
      </c>
      <c r="F18" s="12">
        <f>Depreciation!C7</f>
        <v>38272.5</v>
      </c>
      <c r="G18" s="12">
        <f>Depreciation!C8</f>
        <v>34445.25</v>
      </c>
      <c r="H18" s="12">
        <f>Depreciation!C9</f>
        <v>31000.725000000002</v>
      </c>
      <c r="I18" s="12">
        <f>Depreciation!C10</f>
        <v>27900.652500000004</v>
      </c>
    </row>
    <row r="19" spans="2:9">
      <c r="B19" t="s">
        <v>116</v>
      </c>
      <c r="C19" s="5">
        <f>Depreciation!F4</f>
        <v>7965</v>
      </c>
      <c r="D19" s="5">
        <f>Depreciation!F5</f>
        <v>6770.25</v>
      </c>
      <c r="E19" s="5">
        <f>Depreciation!F6</f>
        <v>5754.7124999999996</v>
      </c>
      <c r="F19" s="5">
        <f>Depreciation!F7</f>
        <v>4891.5056249999998</v>
      </c>
      <c r="G19" s="5">
        <f>Depreciation!F8</f>
        <v>4157.7797812500003</v>
      </c>
      <c r="H19" s="5">
        <f>Depreciation!F9</f>
        <v>3534.1128140625001</v>
      </c>
      <c r="I19" s="5">
        <f>Depreciation!F10</f>
        <v>3003.995891953125</v>
      </c>
    </row>
    <row r="21" spans="2:9">
      <c r="B21" s="1" t="s">
        <v>110</v>
      </c>
      <c r="C21" s="13">
        <f>SUM(C6:C19)</f>
        <v>1125283.22</v>
      </c>
      <c r="D21" s="13">
        <f t="shared" ref="D21:I21" si="0">SUM(D6:D19)</f>
        <v>1096322.3999999999</v>
      </c>
      <c r="E21" s="13">
        <f t="shared" si="0"/>
        <v>1062354.8224999998</v>
      </c>
      <c r="F21" s="13">
        <f t="shared" si="0"/>
        <v>1025589.305625</v>
      </c>
      <c r="G21" s="13">
        <f t="shared" si="0"/>
        <v>985540.65978125005</v>
      </c>
      <c r="H21" s="13">
        <f t="shared" si="0"/>
        <v>941681.61781406251</v>
      </c>
      <c r="I21" s="13">
        <f t="shared" si="0"/>
        <v>893435.55839195312</v>
      </c>
    </row>
    <row r="22" spans="2:9">
      <c r="B22" s="1"/>
      <c r="C22" s="1"/>
      <c r="D22" s="1"/>
      <c r="E22" s="1"/>
      <c r="F22" s="1"/>
      <c r="G22" s="1"/>
      <c r="H22" s="1"/>
      <c r="I22" s="1"/>
    </row>
    <row r="23" spans="2:9">
      <c r="B23" s="25" t="s">
        <v>111</v>
      </c>
    </row>
    <row r="24" spans="2:9">
      <c r="B24" t="s">
        <v>273</v>
      </c>
      <c r="C24">
        <f>'Production Chart'!$D$17*'Techno Economic Parameters'!$C$95</f>
        <v>1424000</v>
      </c>
      <c r="D24">
        <f>'Production Chart'!$D$17*'Techno Economic Parameters'!$C$95</f>
        <v>1424000</v>
      </c>
      <c r="E24">
        <f>'Production Chart'!$D$17*'Techno Economic Parameters'!$C$95</f>
        <v>1424000</v>
      </c>
      <c r="F24">
        <f>'Production Chart'!$D$17*'Techno Economic Parameters'!$C$95</f>
        <v>1424000</v>
      </c>
      <c r="G24">
        <f>'Production Chart'!$D$17*'Techno Economic Parameters'!$C$95</f>
        <v>1424000</v>
      </c>
      <c r="H24">
        <f>'Production Chart'!$D$17*'Techno Economic Parameters'!$C$95</f>
        <v>1424000</v>
      </c>
      <c r="I24">
        <f>'Production Chart'!$D$17*'Techno Economic Parameters'!$C$95</f>
        <v>1424000</v>
      </c>
    </row>
    <row r="25" spans="2:9">
      <c r="B25" t="s">
        <v>272</v>
      </c>
      <c r="C25">
        <f>'Production Chart'!$D$18*'Techno Economic Parameters'!$C$96</f>
        <v>1232000</v>
      </c>
      <c r="D25">
        <f>'Production Chart'!$D$18*'Techno Economic Parameters'!$C$96</f>
        <v>1232000</v>
      </c>
      <c r="E25">
        <f>'Production Chart'!$D$18*'Techno Economic Parameters'!$C$96</f>
        <v>1232000</v>
      </c>
      <c r="F25">
        <f>'Production Chart'!$D$18*'Techno Economic Parameters'!$C$96</f>
        <v>1232000</v>
      </c>
      <c r="G25">
        <f>'Production Chart'!$D$18*'Techno Economic Parameters'!$C$96</f>
        <v>1232000</v>
      </c>
      <c r="H25">
        <f>'Production Chart'!$D$18*'Techno Economic Parameters'!$C$96</f>
        <v>1232000</v>
      </c>
      <c r="I25">
        <f>'Production Chart'!$D$18*'Techno Economic Parameters'!$C$96</f>
        <v>1232000</v>
      </c>
    </row>
    <row r="26" spans="2:9">
      <c r="B26" t="s">
        <v>274</v>
      </c>
      <c r="C26">
        <f>'Techno Economic Parameters'!$C$98*('Techno Economic Parameters'!$C$11+'Techno Economic Parameters'!$D$11)</f>
        <v>5250</v>
      </c>
      <c r="D26">
        <f>'Techno Economic Parameters'!$C$98*('Techno Economic Parameters'!$C$11+'Techno Economic Parameters'!$D$11)</f>
        <v>5250</v>
      </c>
      <c r="E26">
        <f>'Techno Economic Parameters'!$C$98*('Techno Economic Parameters'!$C$11+'Techno Economic Parameters'!$D$11)</f>
        <v>5250</v>
      </c>
      <c r="F26">
        <f>'Techno Economic Parameters'!$C$98*('Techno Economic Parameters'!$C$11+'Techno Economic Parameters'!$D$11)</f>
        <v>5250</v>
      </c>
      <c r="G26">
        <f>'Techno Economic Parameters'!$C$98*('Techno Economic Parameters'!$C$11+'Techno Economic Parameters'!$D$11)</f>
        <v>5250</v>
      </c>
      <c r="H26">
        <f>'Techno Economic Parameters'!$C$98*('Techno Economic Parameters'!$C$11+'Techno Economic Parameters'!$D$11)</f>
        <v>5250</v>
      </c>
      <c r="I26">
        <f>'Techno Economic Parameters'!$C$98*('Techno Economic Parameters'!$C$11+'Techno Economic Parameters'!$D$11)</f>
        <v>5250</v>
      </c>
    </row>
    <row r="27" spans="2:9">
      <c r="B27" t="s">
        <v>275</v>
      </c>
      <c r="C27">
        <f>'Techno Economic Parameters'!$C$97*('Production Chart'!$D$19+'Production Chart'!$D$20)</f>
        <v>35000</v>
      </c>
      <c r="D27">
        <f>'Techno Economic Parameters'!$C$97*('Production Chart'!$D$19+'Production Chart'!$D$20)</f>
        <v>35000</v>
      </c>
      <c r="E27">
        <f>'Techno Economic Parameters'!$C$97*('Production Chart'!$D$19+'Production Chart'!$D$20)</f>
        <v>35000</v>
      </c>
      <c r="F27">
        <f>'Techno Economic Parameters'!$C$97*('Production Chart'!$D$19+'Production Chart'!$D$20)</f>
        <v>35000</v>
      </c>
      <c r="G27">
        <f>'Techno Economic Parameters'!$C$97*('Production Chart'!$D$19+'Production Chart'!$D$20)</f>
        <v>35000</v>
      </c>
      <c r="H27">
        <f>'Techno Economic Parameters'!$C$97*('Production Chart'!$D$19+'Production Chart'!$D$20)</f>
        <v>35000</v>
      </c>
      <c r="I27">
        <f>'Techno Economic Parameters'!$C$97*('Production Chart'!$D$19+'Production Chart'!$D$20)</f>
        <v>35000</v>
      </c>
    </row>
    <row r="28" spans="2:9" s="1" customFormat="1"/>
    <row r="29" spans="2:9">
      <c r="B29" s="1" t="s">
        <v>112</v>
      </c>
      <c r="C29" s="1">
        <f t="shared" ref="C29:I29" si="1">SUM(C24:C28)</f>
        <v>2696250</v>
      </c>
      <c r="D29" s="1">
        <f t="shared" si="1"/>
        <v>2696250</v>
      </c>
      <c r="E29" s="1">
        <f t="shared" si="1"/>
        <v>2696250</v>
      </c>
      <c r="F29" s="1">
        <f t="shared" si="1"/>
        <v>2696250</v>
      </c>
      <c r="G29" s="1">
        <f t="shared" si="1"/>
        <v>2696250</v>
      </c>
      <c r="H29" s="1">
        <f t="shared" si="1"/>
        <v>2696250</v>
      </c>
      <c r="I29" s="1">
        <f t="shared" si="1"/>
        <v>2696250</v>
      </c>
    </row>
    <row r="31" spans="2:9" s="1" customFormat="1">
      <c r="B31" s="1" t="s">
        <v>114</v>
      </c>
      <c r="C31" s="13">
        <f t="shared" ref="C31:I31" si="2">C29-C21</f>
        <v>1570966.78</v>
      </c>
      <c r="D31" s="13">
        <f t="shared" si="2"/>
        <v>1599927.6</v>
      </c>
      <c r="E31" s="13">
        <f t="shared" si="2"/>
        <v>1633895.1775000002</v>
      </c>
      <c r="F31" s="13">
        <f t="shared" si="2"/>
        <v>1670660.694375</v>
      </c>
      <c r="G31" s="13">
        <f t="shared" si="2"/>
        <v>1710709.3402187498</v>
      </c>
      <c r="H31" s="13">
        <f t="shared" si="2"/>
        <v>1754568.3821859374</v>
      </c>
      <c r="I31" s="13">
        <f t="shared" si="2"/>
        <v>1802814.4416080469</v>
      </c>
    </row>
    <row r="33" spans="2:2">
      <c r="B33" s="1"/>
    </row>
    <row r="35" spans="2:2" s="3" customFormat="1"/>
  </sheetData>
  <pageMargins left="0.7" right="0.7" top="0.75" bottom="0.75" header="0.3" footer="0.3"/>
  <pageSetup orientation="portrait" verticalDpi="0" r:id="rId1"/>
  <ignoredErrors>
    <ignoredError sqref="E17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2:I15"/>
  <sheetViews>
    <sheetView workbookViewId="0">
      <selection activeCell="G7" sqref="G7"/>
    </sheetView>
  </sheetViews>
  <sheetFormatPr defaultRowHeight="14.4"/>
  <cols>
    <col min="2" max="2" width="32" customWidth="1"/>
  </cols>
  <sheetData>
    <row r="2" spans="2:9">
      <c r="C2" s="23" t="s">
        <v>117</v>
      </c>
    </row>
    <row r="4" spans="2:9">
      <c r="C4" s="1" t="s">
        <v>101</v>
      </c>
      <c r="D4" s="1" t="s">
        <v>102</v>
      </c>
      <c r="E4" s="1" t="s">
        <v>103</v>
      </c>
      <c r="F4" s="1" t="s">
        <v>104</v>
      </c>
      <c r="G4" s="1" t="s">
        <v>105</v>
      </c>
      <c r="H4" s="1" t="s">
        <v>106</v>
      </c>
      <c r="I4" s="1" t="s">
        <v>107</v>
      </c>
    </row>
    <row r="5" spans="2:9">
      <c r="B5" t="s">
        <v>118</v>
      </c>
      <c r="C5" s="5">
        <f>'Expenditure Income '!C21</f>
        <v>1125283.22</v>
      </c>
      <c r="D5" s="5">
        <f>'Expenditure Income '!D21</f>
        <v>1096322.3999999999</v>
      </c>
      <c r="E5" s="5">
        <f>'Expenditure Income '!E21</f>
        <v>1062354.8224999998</v>
      </c>
      <c r="F5" s="5">
        <f>'Expenditure Income '!F21</f>
        <v>1025589.305625</v>
      </c>
      <c r="G5" s="5">
        <f>'Expenditure Income '!G21</f>
        <v>985540.65978125005</v>
      </c>
      <c r="H5" s="5">
        <f>'Expenditure Income '!H21</f>
        <v>941681.61781406251</v>
      </c>
      <c r="I5" s="5">
        <f>'Expenditure Income '!I21</f>
        <v>893435.55839195312</v>
      </c>
    </row>
    <row r="6" spans="2:9">
      <c r="B6" t="s">
        <v>119</v>
      </c>
      <c r="C6" s="5">
        <f>'Expenditure Income '!C29</f>
        <v>2696250</v>
      </c>
      <c r="D6" s="5">
        <f>'Expenditure Income '!D29</f>
        <v>2696250</v>
      </c>
      <c r="E6" s="5">
        <f>'Expenditure Income '!E29</f>
        <v>2696250</v>
      </c>
      <c r="F6" s="5">
        <f>'Expenditure Income '!F29</f>
        <v>2696250</v>
      </c>
      <c r="G6" s="5">
        <f>'Expenditure Income '!G29</f>
        <v>2696250</v>
      </c>
      <c r="H6" s="5">
        <f>'Expenditure Income '!H29</f>
        <v>2696250</v>
      </c>
      <c r="I6" s="5">
        <f>'Expenditure Income '!I29</f>
        <v>2696250</v>
      </c>
    </row>
    <row r="7" spans="2:9" s="3" customFormat="1">
      <c r="B7" s="3" t="s">
        <v>121</v>
      </c>
      <c r="C7" s="12">
        <f>C6-C5</f>
        <v>1570966.78</v>
      </c>
      <c r="D7" s="12">
        <f t="shared" ref="D7:I7" si="0">D6-D5</f>
        <v>1599927.6</v>
      </c>
      <c r="E7" s="12">
        <f t="shared" si="0"/>
        <v>1633895.1775000002</v>
      </c>
      <c r="F7" s="12">
        <f t="shared" si="0"/>
        <v>1670660.694375</v>
      </c>
      <c r="G7" s="12">
        <f t="shared" si="0"/>
        <v>1710709.3402187498</v>
      </c>
      <c r="H7" s="12">
        <f t="shared" si="0"/>
        <v>1754568.3821859374</v>
      </c>
      <c r="I7" s="12">
        <f t="shared" si="0"/>
        <v>1802814.4416080469</v>
      </c>
    </row>
    <row r="8" spans="2:9" s="1" customFormat="1">
      <c r="C8" s="13"/>
      <c r="D8" s="13"/>
      <c r="E8" s="13"/>
      <c r="F8" s="13"/>
      <c r="G8" s="13"/>
      <c r="H8" s="13"/>
      <c r="I8" s="13"/>
    </row>
    <row r="9" spans="2:9" s="1" customFormat="1">
      <c r="C9" s="13"/>
      <c r="D9" s="13"/>
      <c r="E9" s="13"/>
      <c r="F9" s="13"/>
      <c r="G9" s="13"/>
      <c r="H9" s="13"/>
      <c r="I9" s="13"/>
    </row>
    <row r="10" spans="2:9">
      <c r="B10" t="s">
        <v>113</v>
      </c>
      <c r="C10" s="5">
        <f>'Expenditure Income '!C17</f>
        <v>271125.72000000003</v>
      </c>
      <c r="D10" s="5">
        <f>'Expenditure Income '!D17</f>
        <v>259109.64999999997</v>
      </c>
      <c r="E10" s="5">
        <f>'Expenditure Income '!E17</f>
        <v>230882.61000000002</v>
      </c>
      <c r="F10" s="5">
        <f>'Expenditure Income '!F17</f>
        <v>199232.80000000002</v>
      </c>
      <c r="G10" s="5">
        <f>'Expenditure Income '!G17</f>
        <v>163745.12999999998</v>
      </c>
      <c r="H10" s="5">
        <f>'Expenditure Income '!H17</f>
        <v>123954.28</v>
      </c>
      <c r="I10" s="5">
        <f>'Expenditure Income '!I17</f>
        <v>79338.41</v>
      </c>
    </row>
    <row r="11" spans="2:9">
      <c r="B11" t="s">
        <v>120</v>
      </c>
      <c r="C11" s="5">
        <f>'Expenditure Income '!C18+'Expenditure Income '!C19</f>
        <v>60465</v>
      </c>
      <c r="D11" s="5">
        <f>'Expenditure Income '!D18+'Expenditure Income '!D19</f>
        <v>54020.25</v>
      </c>
      <c r="E11" s="5">
        <f>'Expenditure Income '!E18+'Expenditure Income '!E19</f>
        <v>48279.712500000001</v>
      </c>
      <c r="F11" s="5">
        <f>'Expenditure Income '!F18+'Expenditure Income '!F19</f>
        <v>43164.005624999998</v>
      </c>
      <c r="G11" s="5">
        <f>'Expenditure Income '!G18+'Expenditure Income '!G19</f>
        <v>38603.029781249999</v>
      </c>
      <c r="H11" s="5">
        <f>'Expenditure Income '!H18+'Expenditure Income '!H19</f>
        <v>34534.837814062499</v>
      </c>
      <c r="I11" s="5">
        <f>'Expenditure Income '!I18+'Expenditure Income '!I19</f>
        <v>30904.648391953127</v>
      </c>
    </row>
    <row r="12" spans="2:9">
      <c r="B12" t="s">
        <v>123</v>
      </c>
      <c r="C12" s="5">
        <f>SUM(C10:C11)</f>
        <v>331590.72000000003</v>
      </c>
      <c r="D12" s="5">
        <f t="shared" ref="D12:I12" si="1">SUM(D10:D11)</f>
        <v>313129.89999999997</v>
      </c>
      <c r="E12" s="5">
        <f t="shared" si="1"/>
        <v>279162.32250000001</v>
      </c>
      <c r="F12" s="5">
        <f t="shared" si="1"/>
        <v>242396.80562500001</v>
      </c>
      <c r="G12" s="5">
        <f t="shared" si="1"/>
        <v>202348.15978124997</v>
      </c>
      <c r="H12" s="5">
        <f t="shared" si="1"/>
        <v>158489.11781406251</v>
      </c>
      <c r="I12" s="5">
        <f t="shared" si="1"/>
        <v>110243.05839195313</v>
      </c>
    </row>
    <row r="13" spans="2:9">
      <c r="C13" s="5"/>
      <c r="D13" s="5"/>
      <c r="E13" s="5"/>
      <c r="F13" s="5"/>
      <c r="G13" s="5"/>
      <c r="H13" s="5"/>
      <c r="I13" s="5"/>
    </row>
    <row r="14" spans="2:9">
      <c r="B14" t="s">
        <v>151</v>
      </c>
      <c r="C14" s="5">
        <f>C5-C12</f>
        <v>793692.5</v>
      </c>
      <c r="D14" s="5">
        <f t="shared" ref="D14:I14" si="2">D5-D12</f>
        <v>783192.5</v>
      </c>
      <c r="E14" s="5">
        <f t="shared" si="2"/>
        <v>783192.49999999977</v>
      </c>
      <c r="F14" s="5">
        <f t="shared" si="2"/>
        <v>783192.5</v>
      </c>
      <c r="G14" s="5">
        <f t="shared" si="2"/>
        <v>783192.50000000012</v>
      </c>
      <c r="H14" s="5">
        <f t="shared" si="2"/>
        <v>783192.5</v>
      </c>
      <c r="I14" s="5">
        <f t="shared" si="2"/>
        <v>783192.5</v>
      </c>
    </row>
    <row r="15" spans="2:9" s="1" customFormat="1">
      <c r="B15" s="1" t="s">
        <v>122</v>
      </c>
      <c r="C15" s="13">
        <f>C6-(C5-C12)</f>
        <v>1902557.5</v>
      </c>
      <c r="D15" s="13">
        <f t="shared" ref="D15:I15" si="3">D6-(D5-D12)</f>
        <v>1913057.5</v>
      </c>
      <c r="E15" s="13">
        <f t="shared" si="3"/>
        <v>1913057.5000000002</v>
      </c>
      <c r="F15" s="13">
        <f t="shared" si="3"/>
        <v>1913057.5</v>
      </c>
      <c r="G15" s="13">
        <f t="shared" si="3"/>
        <v>1913057.5</v>
      </c>
      <c r="H15" s="13">
        <f t="shared" si="3"/>
        <v>1913057.5</v>
      </c>
      <c r="I15" s="13">
        <f t="shared" si="3"/>
        <v>1913057.5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2:M94"/>
  <sheetViews>
    <sheetView topLeftCell="A7" workbookViewId="0">
      <selection activeCell="G33" sqref="G33:G35"/>
    </sheetView>
  </sheetViews>
  <sheetFormatPr defaultRowHeight="14.4"/>
  <cols>
    <col min="3" max="3" width="26.77734375" customWidth="1"/>
    <col min="4" max="4" width="16.88671875" customWidth="1"/>
    <col min="5" max="5" width="12.33203125" customWidth="1"/>
    <col min="6" max="6" width="18" customWidth="1"/>
  </cols>
  <sheetData>
    <row r="2" spans="2:12">
      <c r="C2" s="37" t="s">
        <v>124</v>
      </c>
    </row>
    <row r="3" spans="2:12">
      <c r="H3" s="34"/>
    </row>
    <row r="4" spans="2:12">
      <c r="C4" s="26" t="s">
        <v>125</v>
      </c>
      <c r="D4" s="38">
        <f>Investment!C49</f>
        <v>2357615</v>
      </c>
    </row>
    <row r="5" spans="2:12">
      <c r="C5" s="26" t="s">
        <v>126</v>
      </c>
      <c r="D5" s="39">
        <f>'Techno Economic Parameters'!C47</f>
        <v>11.5</v>
      </c>
      <c r="E5" s="6">
        <f>D5/12</f>
        <v>0.95833333333333337</v>
      </c>
      <c r="F5" t="s">
        <v>127</v>
      </c>
    </row>
    <row r="6" spans="2:12">
      <c r="C6" s="26" t="s">
        <v>128</v>
      </c>
      <c r="D6" s="38">
        <f>'Techno Economic Parameters'!C48</f>
        <v>7</v>
      </c>
      <c r="E6">
        <f>D6*12</f>
        <v>84</v>
      </c>
      <c r="F6" t="s">
        <v>129</v>
      </c>
    </row>
    <row r="7" spans="2:12">
      <c r="C7" s="26" t="s">
        <v>130</v>
      </c>
      <c r="D7" s="39">
        <f>(D$5%*$D$4)/(1-1/(1+D$5%)^D6)</f>
        <v>508431.57238978776</v>
      </c>
      <c r="E7" s="6"/>
      <c r="G7" s="1" t="s">
        <v>139</v>
      </c>
      <c r="H7" s="1" t="s">
        <v>277</v>
      </c>
      <c r="I7" s="1" t="s">
        <v>113</v>
      </c>
      <c r="J7" s="1" t="s">
        <v>99</v>
      </c>
      <c r="K7" s="1" t="s">
        <v>278</v>
      </c>
      <c r="L7" s="1"/>
    </row>
    <row r="8" spans="2:12">
      <c r="C8" s="26" t="s">
        <v>131</v>
      </c>
      <c r="D8" s="39">
        <f>ROUND(((D5%/12*D$4))/(1-1/(1+(D$5%/12))^(D$6*12)),0)</f>
        <v>40991</v>
      </c>
      <c r="G8" s="1" t="s">
        <v>279</v>
      </c>
    </row>
    <row r="9" spans="2:12">
      <c r="B9" s="7" t="s">
        <v>132</v>
      </c>
      <c r="C9" s="7" t="s">
        <v>133</v>
      </c>
      <c r="D9" s="7" t="s">
        <v>134</v>
      </c>
      <c r="E9" s="7" t="s">
        <v>135</v>
      </c>
      <c r="F9" s="7" t="s">
        <v>136</v>
      </c>
      <c r="G9" s="7" t="s">
        <v>280</v>
      </c>
      <c r="H9" s="36">
        <f>SUM(D11:D16)</f>
        <v>0</v>
      </c>
      <c r="I9" s="36">
        <f>SUM(E11:E16)</f>
        <v>135562.86000000002</v>
      </c>
      <c r="J9" s="5">
        <f>SUM(H9:I9)</f>
        <v>135562.86000000002</v>
      </c>
      <c r="K9" s="5">
        <f>D4-H9</f>
        <v>2357615</v>
      </c>
    </row>
    <row r="10" spans="2:12">
      <c r="B10" s="7"/>
      <c r="F10" s="8">
        <f>D4</f>
        <v>2357615</v>
      </c>
      <c r="G10" s="1" t="s">
        <v>281</v>
      </c>
      <c r="H10" s="36">
        <f>SUM(D17:D22)</f>
        <v>0</v>
      </c>
      <c r="I10" s="36">
        <f>SUM(E17:E22)</f>
        <v>135562.86000000002</v>
      </c>
      <c r="J10" s="5">
        <f>SUM(H10:I10)</f>
        <v>135562.86000000002</v>
      </c>
      <c r="K10" s="5">
        <f>K9-H10</f>
        <v>2357615</v>
      </c>
    </row>
    <row r="11" spans="2:12">
      <c r="B11" s="10">
        <f>IF(B10&gt;=D6*12,"",B10+1)</f>
        <v>1</v>
      </c>
      <c r="C11" s="9">
        <f t="shared" ref="C11:C22" si="0">E11</f>
        <v>22593.81</v>
      </c>
      <c r="D11" s="9">
        <v>0</v>
      </c>
      <c r="E11" s="9">
        <f>IF(B11="","",ROUND(E5%*F10,2))</f>
        <v>22593.81</v>
      </c>
      <c r="F11" s="9">
        <f>IF(B11="","",F10-D11)</f>
        <v>2357615</v>
      </c>
      <c r="G11" s="1" t="s">
        <v>99</v>
      </c>
      <c r="H11" s="8">
        <f>SUM(H9:H10)</f>
        <v>0</v>
      </c>
      <c r="I11" s="5">
        <f>SUM(I9:I10)</f>
        <v>271125.72000000003</v>
      </c>
      <c r="J11" s="5">
        <f>SUM(J9:J10)</f>
        <v>271125.72000000003</v>
      </c>
    </row>
    <row r="12" spans="2:12">
      <c r="B12" s="10">
        <f>IF(B11&gt;=D6*12,"",B11+1)</f>
        <v>2</v>
      </c>
      <c r="C12" s="9">
        <f t="shared" si="0"/>
        <v>22593.81</v>
      </c>
      <c r="D12" s="9">
        <v>0</v>
      </c>
      <c r="E12" s="9">
        <f>IF(B12="","",ROUND(E5%*F11,2))</f>
        <v>22593.81</v>
      </c>
      <c r="F12" s="9">
        <f t="shared" ref="F12:F75" si="1">IF(B12="","",F11-D12)</f>
        <v>2357615</v>
      </c>
      <c r="G12" s="1" t="s">
        <v>282</v>
      </c>
    </row>
    <row r="13" spans="2:12">
      <c r="B13" s="10">
        <f>IF(B12&gt;=D6*12,"",B12+1)</f>
        <v>3</v>
      </c>
      <c r="C13" s="9">
        <f t="shared" si="0"/>
        <v>22593.81</v>
      </c>
      <c r="D13" s="9">
        <v>0</v>
      </c>
      <c r="E13" s="9">
        <f>IF(B13="","",ROUND(E5%*F12,2))</f>
        <v>22593.81</v>
      </c>
      <c r="F13" s="9">
        <f t="shared" si="1"/>
        <v>2357615</v>
      </c>
      <c r="G13" s="1" t="s">
        <v>280</v>
      </c>
      <c r="H13" s="36">
        <f>SUM(D23:D28)</f>
        <v>113061.77</v>
      </c>
      <c r="I13" s="36">
        <f>SUM(E23:E28)</f>
        <v>132884.22999999998</v>
      </c>
      <c r="J13" s="5">
        <f>SUM(H13:I13)</f>
        <v>245946</v>
      </c>
      <c r="K13" s="5">
        <f>K10-H13</f>
        <v>2244553.23</v>
      </c>
    </row>
    <row r="14" spans="2:12">
      <c r="B14" s="10">
        <f>IF(B13&gt;=D6*12,"",B13+1)</f>
        <v>4</v>
      </c>
      <c r="C14" s="9">
        <f t="shared" si="0"/>
        <v>22593.81</v>
      </c>
      <c r="D14" s="9">
        <v>0</v>
      </c>
      <c r="E14" s="9">
        <f>IF(B14="","",ROUND(E5%*F13,2))</f>
        <v>22593.81</v>
      </c>
      <c r="F14" s="9">
        <f t="shared" si="1"/>
        <v>2357615</v>
      </c>
      <c r="G14" s="1" t="s">
        <v>281</v>
      </c>
      <c r="H14" s="36">
        <f>SUM(D29:D34)</f>
        <v>119720.57999999999</v>
      </c>
      <c r="I14" s="36">
        <f>SUM(E29:E34)</f>
        <v>126225.42000000001</v>
      </c>
      <c r="J14" s="5">
        <f>SUM(H14:I14)</f>
        <v>245946</v>
      </c>
      <c r="K14" s="5">
        <f>K13-H14</f>
        <v>2124832.65</v>
      </c>
    </row>
    <row r="15" spans="2:12">
      <c r="B15" s="10">
        <f>IF(B14&gt;=D6*12,"",B14+1)</f>
        <v>5</v>
      </c>
      <c r="C15" s="9">
        <f t="shared" si="0"/>
        <v>22593.81</v>
      </c>
      <c r="D15" s="9">
        <v>0</v>
      </c>
      <c r="E15" s="9">
        <f>IF(B15="","",ROUND(E5%*F14,2))</f>
        <v>22593.81</v>
      </c>
      <c r="F15" s="9">
        <f t="shared" si="1"/>
        <v>2357615</v>
      </c>
      <c r="G15" s="1" t="s">
        <v>99</v>
      </c>
      <c r="H15" s="5">
        <f>SUM(H13:H14)</f>
        <v>232782.34999999998</v>
      </c>
      <c r="I15" s="5">
        <f>SUM(I13:I14)</f>
        <v>259109.65</v>
      </c>
      <c r="J15" s="5">
        <f>SUM(J13:J14)</f>
        <v>491892</v>
      </c>
    </row>
    <row r="16" spans="2:12">
      <c r="B16" s="10">
        <f>IF(B15&gt;=D6*12,"",B15+1)</f>
        <v>6</v>
      </c>
      <c r="C16" s="9">
        <f t="shared" si="0"/>
        <v>22593.81</v>
      </c>
      <c r="D16" s="9">
        <v>0</v>
      </c>
      <c r="E16" s="9">
        <f>IF(B16="","",ROUND(E5%*F15,2))</f>
        <v>22593.81</v>
      </c>
      <c r="F16" s="9">
        <f t="shared" si="1"/>
        <v>2357615</v>
      </c>
      <c r="G16" s="1" t="s">
        <v>283</v>
      </c>
    </row>
    <row r="17" spans="2:13">
      <c r="B17" s="10">
        <f>IF(B16&gt;=D6*12,"",B16+1)</f>
        <v>7</v>
      </c>
      <c r="C17" s="9">
        <f t="shared" si="0"/>
        <v>22593.81</v>
      </c>
      <c r="D17" s="9">
        <v>0</v>
      </c>
      <c r="E17" s="9">
        <f>IF(B17="","",ROUND(E5%*F16,2))</f>
        <v>22593.81</v>
      </c>
      <c r="F17" s="9">
        <f t="shared" si="1"/>
        <v>2357615</v>
      </c>
      <c r="G17" s="1" t="s">
        <v>280</v>
      </c>
      <c r="H17" s="36">
        <f>SUM(D35:D40)</f>
        <v>126771.56999999998</v>
      </c>
      <c r="I17" s="36">
        <f>SUM(E35:E40)</f>
        <v>119174.43000000002</v>
      </c>
      <c r="J17" s="5">
        <f>SUM(H17:I17)</f>
        <v>245946</v>
      </c>
      <c r="K17" s="5">
        <f>K14-H17</f>
        <v>1998061.0799999998</v>
      </c>
    </row>
    <row r="18" spans="2:13">
      <c r="B18" s="10">
        <f>IF(B17&gt;=D6*12,"",B17+1)</f>
        <v>8</v>
      </c>
      <c r="C18" s="9">
        <f t="shared" si="0"/>
        <v>22593.81</v>
      </c>
      <c r="D18" s="9">
        <v>0</v>
      </c>
      <c r="E18" s="9">
        <f>IF(B18="","",ROUND(E5%*F17,2))</f>
        <v>22593.81</v>
      </c>
      <c r="F18" s="9">
        <f t="shared" si="1"/>
        <v>2357615</v>
      </c>
      <c r="G18" s="1" t="s">
        <v>281</v>
      </c>
      <c r="H18" s="36">
        <f>SUM(D41:D46)</f>
        <v>134237.82</v>
      </c>
      <c r="I18" s="36">
        <f>SUM(E41:E46)</f>
        <v>111708.18000000001</v>
      </c>
      <c r="J18" s="5">
        <f>SUM(H18:I18)</f>
        <v>245946</v>
      </c>
      <c r="K18" s="5">
        <f>K17-H18</f>
        <v>1863823.2599999998</v>
      </c>
    </row>
    <row r="19" spans="2:13">
      <c r="B19" s="10">
        <f>IF(B18&gt;=D6*12,"",B18+1)</f>
        <v>9</v>
      </c>
      <c r="C19" s="9">
        <f t="shared" si="0"/>
        <v>22593.81</v>
      </c>
      <c r="D19" s="9">
        <v>0</v>
      </c>
      <c r="E19" s="9">
        <f>IF(B19="","",ROUND(E5%*F18,2))</f>
        <v>22593.81</v>
      </c>
      <c r="F19" s="9">
        <f t="shared" si="1"/>
        <v>2357615</v>
      </c>
      <c r="G19" s="1" t="s">
        <v>99</v>
      </c>
      <c r="H19" s="5">
        <f>SUM(H17:H18)</f>
        <v>261009.38999999998</v>
      </c>
      <c r="I19" s="5">
        <f>SUM(I17:I18)</f>
        <v>230882.61000000004</v>
      </c>
      <c r="J19" s="5">
        <f>SUM(J17:J18)</f>
        <v>491892</v>
      </c>
    </row>
    <row r="20" spans="2:13">
      <c r="B20" s="10">
        <f>IF(B19&gt;=D6*12,"",B19+1)</f>
        <v>10</v>
      </c>
      <c r="C20" s="9">
        <f t="shared" si="0"/>
        <v>22593.81</v>
      </c>
      <c r="D20" s="9">
        <v>0</v>
      </c>
      <c r="E20" s="9">
        <f>IF(B20="","",ROUND(E5%*F19,2))</f>
        <v>22593.81</v>
      </c>
      <c r="F20" s="9">
        <f t="shared" si="1"/>
        <v>2357615</v>
      </c>
      <c r="G20" s="1" t="s">
        <v>284</v>
      </c>
    </row>
    <row r="21" spans="2:13">
      <c r="B21" s="10">
        <f>IF(B20&gt;=D6*12,"",B20+1)</f>
        <v>11</v>
      </c>
      <c r="C21" s="9">
        <f t="shared" si="0"/>
        <v>22593.81</v>
      </c>
      <c r="D21" s="9">
        <v>0</v>
      </c>
      <c r="E21" s="9">
        <f>IF(B21="","",ROUND(E5%*F20,2))</f>
        <v>22593.81</v>
      </c>
      <c r="F21" s="9">
        <f t="shared" si="1"/>
        <v>2357615</v>
      </c>
      <c r="G21" s="1" t="s">
        <v>280</v>
      </c>
      <c r="H21" s="36">
        <f>SUM(D47:D52)</f>
        <v>142143.80000000002</v>
      </c>
      <c r="I21" s="36">
        <f>SUM(E47:E52)</f>
        <v>103802.2</v>
      </c>
      <c r="J21" s="5">
        <f>SUM(H21:I21)</f>
        <v>245946</v>
      </c>
      <c r="K21" s="5">
        <f>K18-H21</f>
        <v>1721679.4599999997</v>
      </c>
      <c r="M21" s="5"/>
    </row>
    <row r="22" spans="2:13">
      <c r="B22" s="10">
        <f>IF(B21&gt;=D6*12,"",B21+1)</f>
        <v>12</v>
      </c>
      <c r="C22" s="9">
        <f t="shared" si="0"/>
        <v>22593.81</v>
      </c>
      <c r="D22" s="9">
        <v>0</v>
      </c>
      <c r="E22" s="9">
        <f>IF(B22="","",ROUND(E5%*F21,2))</f>
        <v>22593.81</v>
      </c>
      <c r="F22" s="9">
        <f t="shared" si="1"/>
        <v>2357615</v>
      </c>
      <c r="G22" s="1" t="s">
        <v>281</v>
      </c>
      <c r="H22" s="36">
        <f>SUM(D53:D58)</f>
        <v>150515.4</v>
      </c>
      <c r="I22" s="36">
        <f>SUM(E53:E58)</f>
        <v>95430.6</v>
      </c>
      <c r="J22" s="5">
        <f>SUM(H22:I22)</f>
        <v>245946</v>
      </c>
      <c r="K22" s="5">
        <f>K21-H22</f>
        <v>1571164.0599999998</v>
      </c>
    </row>
    <row r="23" spans="2:13">
      <c r="B23" s="10">
        <f>IF(B22&gt;=D6*12,"",B22+1)</f>
        <v>13</v>
      </c>
      <c r="C23" s="9">
        <f>IF(B23="","",IF(OR(B23=E6,D8&gt;ROUND((1+E5%)*F22,2)),ROUND((1+E5%)*F22,2),D8))</f>
        <v>40991</v>
      </c>
      <c r="D23" s="9">
        <f t="shared" ref="D23:D86" si="2">IF(B23="","",C23-E23)</f>
        <v>18397.189999999999</v>
      </c>
      <c r="E23" s="9">
        <f>IF(B23="","",ROUND(E5%*F22,2))</f>
        <v>22593.81</v>
      </c>
      <c r="F23" s="9">
        <f t="shared" si="1"/>
        <v>2339217.81</v>
      </c>
      <c r="G23" s="1" t="s">
        <v>99</v>
      </c>
      <c r="H23" s="5">
        <f>SUM(H21:H22)</f>
        <v>292659.20000000001</v>
      </c>
      <c r="I23" s="5">
        <f>SUM(I21:I22)</f>
        <v>199232.8</v>
      </c>
      <c r="J23" s="5">
        <f>SUM(J21:J22)</f>
        <v>491892</v>
      </c>
    </row>
    <row r="24" spans="2:13">
      <c r="B24" s="10">
        <f>IF(B23&gt;=D6*12,"",B23+1)</f>
        <v>14</v>
      </c>
      <c r="C24" s="9">
        <f>IF(B24="","",IF(OR(B24=E6,D8&gt;ROUND((1+E5%)*F23,2)),ROUND((1+E5%)*F23,2),D8))</f>
        <v>40991</v>
      </c>
      <c r="D24" s="9">
        <f t="shared" si="2"/>
        <v>18573.5</v>
      </c>
      <c r="E24" s="9">
        <f>IF(B24="","",ROUND(E5%*F23,2))</f>
        <v>22417.5</v>
      </c>
      <c r="F24" s="9">
        <f t="shared" si="1"/>
        <v>2320644.31</v>
      </c>
      <c r="G24" s="1" t="s">
        <v>285</v>
      </c>
    </row>
    <row r="25" spans="2:13">
      <c r="B25" s="10">
        <f>IF(B24&gt;=D6*12,"",B24+1)</f>
        <v>15</v>
      </c>
      <c r="C25" s="9">
        <f>IF(B25="","",IF(OR(B25=E6,D8&gt;ROUND((1+E5%)*F24,2)),ROUND((1+E5%)*F24,2),D8))</f>
        <v>40991</v>
      </c>
      <c r="D25" s="9">
        <f t="shared" si="2"/>
        <v>18751.490000000002</v>
      </c>
      <c r="E25" s="9">
        <f>IF(B25="","",ROUND(E5%*F24,2))</f>
        <v>22239.51</v>
      </c>
      <c r="F25" s="9">
        <f t="shared" si="1"/>
        <v>2301892.8199999998</v>
      </c>
      <c r="G25" s="1" t="s">
        <v>280</v>
      </c>
      <c r="H25" s="36">
        <f>SUM(D59:D64)</f>
        <v>159380.06</v>
      </c>
      <c r="I25" s="36">
        <f>SUM(E59:E64)</f>
        <v>86565.94</v>
      </c>
      <c r="J25" s="5">
        <f>SUM(H25:I25)</f>
        <v>245946</v>
      </c>
      <c r="K25" s="5">
        <f>K22-H25</f>
        <v>1411783.9999999998</v>
      </c>
    </row>
    <row r="26" spans="2:13">
      <c r="B26" s="10">
        <f>IF(B25&gt;=D6*12,"",B25+1)</f>
        <v>16</v>
      </c>
      <c r="C26" s="9">
        <f>IF(B26="","",IF(OR(B26=E6,D8&gt;ROUND((1+E5%)*F25,2)),ROUND((1+E5%)*F25,2),D8))</f>
        <v>40991</v>
      </c>
      <c r="D26" s="9">
        <f t="shared" si="2"/>
        <v>18931.189999999999</v>
      </c>
      <c r="E26" s="9">
        <f>IF(B26="","",ROUND(E5%*F25,2))</f>
        <v>22059.81</v>
      </c>
      <c r="F26" s="9">
        <f t="shared" si="1"/>
        <v>2282961.63</v>
      </c>
      <c r="G26" s="1" t="s">
        <v>281</v>
      </c>
      <c r="H26" s="36">
        <f>SUM(D65:D70)</f>
        <v>168766.81000000003</v>
      </c>
      <c r="I26" s="36">
        <f>SUM(E65:E70)</f>
        <v>77179.19</v>
      </c>
      <c r="J26" s="5">
        <f>SUM(H26:I26)</f>
        <v>245946.00000000003</v>
      </c>
      <c r="K26" s="5">
        <f>K25-H26</f>
        <v>1243017.1899999997</v>
      </c>
    </row>
    <row r="27" spans="2:13">
      <c r="B27" s="10">
        <f>IF(B26&gt;=D6*12,"",B26+1)</f>
        <v>17</v>
      </c>
      <c r="C27" s="9">
        <f>IF(B27="","",IF(OR(B27=E6,D8&gt;ROUND((1+E5%)*F26,2)),ROUND((1+E5%)*F26,2),D8))</f>
        <v>40991</v>
      </c>
      <c r="D27" s="9">
        <f t="shared" si="2"/>
        <v>19112.62</v>
      </c>
      <c r="E27" s="9">
        <f>IF(B27="","",ROUND(E5%*F26,2))</f>
        <v>21878.38</v>
      </c>
      <c r="F27" s="9">
        <f t="shared" si="1"/>
        <v>2263849.0099999998</v>
      </c>
      <c r="G27" s="1" t="s">
        <v>99</v>
      </c>
      <c r="H27" s="5">
        <f>SUM(H25:H26)</f>
        <v>328146.87</v>
      </c>
      <c r="I27" s="5">
        <f>SUM(I25:I26)</f>
        <v>163745.13</v>
      </c>
      <c r="J27" s="5">
        <f>SUM(J25:J26)</f>
        <v>491892</v>
      </c>
    </row>
    <row r="28" spans="2:13">
      <c r="B28" s="10">
        <f>IF(B27&gt;=D6*12,"",B27+1)</f>
        <v>18</v>
      </c>
      <c r="C28" s="9">
        <f>IF(B28="","",IF(OR(B28=E6,D8&gt;ROUND((1+E5%)*F27,2)),ROUND((1+E5%)*F27,2),D8))</f>
        <v>40991</v>
      </c>
      <c r="D28" s="9">
        <f t="shared" si="2"/>
        <v>19295.78</v>
      </c>
      <c r="E28" s="9">
        <f>IF(B28="","",ROUND(E5%*F27,2))</f>
        <v>21695.22</v>
      </c>
      <c r="F28" s="9">
        <f t="shared" si="1"/>
        <v>2244553.23</v>
      </c>
      <c r="G28" s="1" t="s">
        <v>286</v>
      </c>
    </row>
    <row r="29" spans="2:13">
      <c r="B29" s="10">
        <f>IF(B28&gt;=D6*12,"",B28+1)</f>
        <v>19</v>
      </c>
      <c r="C29" s="9">
        <f>IF(B29="","",IF(OR(B29=E6,D8&gt;ROUND((1+E5%)*F28,2)),ROUND((1+E5%)*F28,2),D8))</f>
        <v>40991</v>
      </c>
      <c r="D29" s="9">
        <f t="shared" si="2"/>
        <v>19480.7</v>
      </c>
      <c r="E29" s="9">
        <f>IF(B29="","",ROUND(E5%*F28,2))</f>
        <v>21510.3</v>
      </c>
      <c r="F29" s="9">
        <f t="shared" si="1"/>
        <v>2225072.5299999998</v>
      </c>
      <c r="G29" s="1" t="s">
        <v>280</v>
      </c>
      <c r="H29" s="36">
        <f>SUM(D71:D76)</f>
        <v>178706.37</v>
      </c>
      <c r="I29" s="36">
        <f>SUM(E71:E76)</f>
        <v>67239.63</v>
      </c>
      <c r="J29" s="5">
        <f>SUM(H29:I29)</f>
        <v>245946</v>
      </c>
      <c r="K29" s="5">
        <f>K26-H29</f>
        <v>1064310.8199999998</v>
      </c>
    </row>
    <row r="30" spans="2:13">
      <c r="B30" s="10">
        <f>IF(B29&gt;=D6*12,"",B29+1)</f>
        <v>20</v>
      </c>
      <c r="C30" s="9">
        <f>IF(B30="","",IF(OR(B30=E6,D8&gt;ROUND((1+E5%)*F29,2)),ROUND((1+E5%)*F29,2),D8))</f>
        <v>40991</v>
      </c>
      <c r="D30" s="9">
        <f t="shared" si="2"/>
        <v>19667.39</v>
      </c>
      <c r="E30" s="9">
        <f>IF(B30="","",ROUND(E5%*F29,2))</f>
        <v>21323.61</v>
      </c>
      <c r="F30" s="9">
        <f t="shared" si="1"/>
        <v>2205405.1399999997</v>
      </c>
      <c r="G30" s="1" t="s">
        <v>281</v>
      </c>
      <c r="H30" s="36">
        <f>SUM(D77:D82)</f>
        <v>189231.35</v>
      </c>
      <c r="I30" s="36">
        <f>SUM(E77:E82)</f>
        <v>56714.65</v>
      </c>
      <c r="J30" s="5">
        <f>SUM(H30:I30)</f>
        <v>245946</v>
      </c>
      <c r="K30" s="5">
        <f>K29-H30</f>
        <v>875079.46999999986</v>
      </c>
    </row>
    <row r="31" spans="2:13">
      <c r="B31" s="10">
        <f>IF(B30&gt;=D6*12,"",B30+1)</f>
        <v>21</v>
      </c>
      <c r="C31" s="9">
        <f>IF(B31="","",IF(OR(B31=E6,D8&gt;ROUND((1+E5%)*F30,2)),ROUND((1+E5%)*F30,2),D8))</f>
        <v>40991</v>
      </c>
      <c r="D31" s="9">
        <f t="shared" si="2"/>
        <v>19855.87</v>
      </c>
      <c r="E31" s="9">
        <f>IF(B31="","",ROUND(E5%*F30,2))</f>
        <v>21135.13</v>
      </c>
      <c r="F31" s="9">
        <f t="shared" si="1"/>
        <v>2185549.2699999996</v>
      </c>
      <c r="G31" s="1" t="s">
        <v>99</v>
      </c>
      <c r="H31" s="5">
        <f>SUM(H29:H30)</f>
        <v>367937.72</v>
      </c>
      <c r="I31" s="5">
        <f>SUM(I29:I30)</f>
        <v>123954.28</v>
      </c>
      <c r="J31" s="5">
        <f>SUM(J29:J30)</f>
        <v>491892</v>
      </c>
    </row>
    <row r="32" spans="2:13">
      <c r="B32" s="10">
        <f>IF(B31&gt;=D6*12,"",B31+1)</f>
        <v>22</v>
      </c>
      <c r="C32" s="9">
        <f>IF(B32="","",IF(OR(B32=E6,D8&gt;ROUND((1+E5%)*F31,2)),ROUND((1+E5%)*F31,2),D8))</f>
        <v>40991</v>
      </c>
      <c r="D32" s="9">
        <f t="shared" si="2"/>
        <v>20046.150000000001</v>
      </c>
      <c r="E32" s="9">
        <f>IF(B32="","",ROUND(E5%*F31,2))</f>
        <v>20944.849999999999</v>
      </c>
      <c r="F32" s="9">
        <f t="shared" si="1"/>
        <v>2165503.1199999996</v>
      </c>
      <c r="G32" s="1" t="s">
        <v>287</v>
      </c>
    </row>
    <row r="33" spans="2:11">
      <c r="B33" s="10">
        <f>IF(B32&gt;=D6*12,"",B32+1)</f>
        <v>23</v>
      </c>
      <c r="C33" s="9">
        <f>IF(B33="","",IF(OR(B33=E6,D8&gt;ROUND((1+E5%)*F32,2)),ROUND((1+E5%)*F32,2),D8))</f>
        <v>40991</v>
      </c>
      <c r="D33" s="9">
        <f t="shared" si="2"/>
        <v>20238.259999999998</v>
      </c>
      <c r="E33" s="9">
        <f>IF(B33="","",ROUND(E5%*F32,2))</f>
        <v>20752.740000000002</v>
      </c>
      <c r="F33" s="9">
        <f t="shared" si="1"/>
        <v>2145264.86</v>
      </c>
      <c r="G33" s="1" t="s">
        <v>280</v>
      </c>
      <c r="H33" s="36">
        <f>SUM(D83:D88)</f>
        <v>200376.18</v>
      </c>
      <c r="I33" s="36">
        <f>SUM(E83:E88)</f>
        <v>45569.82</v>
      </c>
      <c r="J33" s="5">
        <f>SUM(H33:I33)</f>
        <v>245946</v>
      </c>
      <c r="K33" s="5">
        <f>K30-H33</f>
        <v>674703.2899999998</v>
      </c>
    </row>
    <row r="34" spans="2:11">
      <c r="B34" s="10">
        <f>IF(B33&gt;=D6*12,"",B33+1)</f>
        <v>24</v>
      </c>
      <c r="C34" s="9">
        <f>IF(B34="","",IF(OR(B34=E6,D8&gt;ROUND((1+E5%)*F33,2)),ROUND((1+E5%)*F33,2),D8))</f>
        <v>40991</v>
      </c>
      <c r="D34" s="9">
        <f t="shared" si="2"/>
        <v>20432.21</v>
      </c>
      <c r="E34" s="9">
        <f>IF(B34="","",ROUND(E5%*F33,2))</f>
        <v>20558.79</v>
      </c>
      <c r="F34" s="9">
        <f t="shared" si="1"/>
        <v>2124832.65</v>
      </c>
      <c r="G34" s="1" t="s">
        <v>281</v>
      </c>
      <c r="H34" s="36">
        <f>SUM(D89:D94)</f>
        <v>674703.29</v>
      </c>
      <c r="I34" s="36">
        <f>SUM(E89:E94)</f>
        <v>33768.589999999997</v>
      </c>
      <c r="J34" s="5">
        <f>SUM(H34:I34)</f>
        <v>708471.88</v>
      </c>
      <c r="K34" s="5">
        <f>K33-H34</f>
        <v>0</v>
      </c>
    </row>
    <row r="35" spans="2:11">
      <c r="B35" s="10">
        <f>IF(B34&gt;=D6*12,"",B34+1)</f>
        <v>25</v>
      </c>
      <c r="C35" s="9">
        <f>IF(B35="","",IF(OR(B35=E6,D8&gt;ROUND((1+E5%)*F34,2)),ROUND((1+E5%)*F34,2),D8))</f>
        <v>40991</v>
      </c>
      <c r="D35" s="9">
        <f t="shared" si="2"/>
        <v>20628.02</v>
      </c>
      <c r="E35" s="9">
        <f>IF(B35="","",ROUND(E5%*F34,2))</f>
        <v>20362.98</v>
      </c>
      <c r="F35" s="9">
        <f t="shared" si="1"/>
        <v>2104204.63</v>
      </c>
      <c r="G35" s="1" t="s">
        <v>99</v>
      </c>
      <c r="H35" s="5">
        <f>SUM(H33:H34)</f>
        <v>875079.47</v>
      </c>
      <c r="I35" s="5">
        <f>SUM(I33:I34)</f>
        <v>79338.41</v>
      </c>
      <c r="J35" s="5">
        <f>SUM(J33:J34)</f>
        <v>954417.88</v>
      </c>
    </row>
    <row r="36" spans="2:11">
      <c r="B36" s="10">
        <f>IF(B35&gt;=D6*12,"",B35+1)</f>
        <v>26</v>
      </c>
      <c r="C36" s="9">
        <f>IF(B36="","",IF(OR(B36=E6,D8&gt;ROUND((1+E5%)*F35,2)),ROUND((1+E5%)*F35,2),D8))</f>
        <v>40991</v>
      </c>
      <c r="D36" s="9">
        <f t="shared" si="2"/>
        <v>20825.71</v>
      </c>
      <c r="E36" s="9">
        <f>IF(B36="","",ROUND(E5%*F35,2))</f>
        <v>20165.29</v>
      </c>
      <c r="F36" s="9">
        <f t="shared" si="1"/>
        <v>2083378.92</v>
      </c>
    </row>
    <row r="37" spans="2:11">
      <c r="B37" s="10">
        <f>IF(B36&gt;=D6*12,"",B36+1)</f>
        <v>27</v>
      </c>
      <c r="C37" s="9">
        <f>IF(B37="","",IF(OR(B37=E6,D8&gt;ROUND((1+E5%)*F36,2)),ROUND((1+E5%)*F36,2),D8))</f>
        <v>40991</v>
      </c>
      <c r="D37" s="9">
        <f t="shared" si="2"/>
        <v>21025.29</v>
      </c>
      <c r="E37" s="9">
        <f>IF(B37="","",ROUND(E5%*F36,2))</f>
        <v>19965.71</v>
      </c>
      <c r="F37" s="9">
        <f t="shared" si="1"/>
        <v>2062353.63</v>
      </c>
    </row>
    <row r="38" spans="2:11">
      <c r="B38" s="10">
        <f>IF(B37&gt;=D6*12,"",B37+1)</f>
        <v>28</v>
      </c>
      <c r="C38" s="9">
        <f>IF(B38="","",IF(OR(B38=E6,D8&gt;ROUND((1+E5%)*F37,2)),ROUND((1+E5%)*F37,2),D8))</f>
        <v>40991</v>
      </c>
      <c r="D38" s="9">
        <f t="shared" si="2"/>
        <v>21226.78</v>
      </c>
      <c r="E38" s="9">
        <f>IF(B38="","",ROUND(E5%*F37,2))</f>
        <v>19764.22</v>
      </c>
      <c r="F38" s="9">
        <f t="shared" si="1"/>
        <v>2041126.8499999999</v>
      </c>
    </row>
    <row r="39" spans="2:11">
      <c r="B39" s="10">
        <f>IF(B38&gt;=D6*12,"",B38+1)</f>
        <v>29</v>
      </c>
      <c r="C39" s="9">
        <f>IF(B39="","",IF(OR(B39=E6,D8&gt;ROUND((1+E5%)*F38,2)),ROUND((1+E5%)*F38,2),D8))</f>
        <v>40991</v>
      </c>
      <c r="D39" s="9">
        <f t="shared" si="2"/>
        <v>21430.2</v>
      </c>
      <c r="E39" s="9">
        <f>IF(B39="","",ROUND(E5%*F38,2))</f>
        <v>19560.8</v>
      </c>
      <c r="F39" s="9">
        <f t="shared" si="1"/>
        <v>2019696.65</v>
      </c>
    </row>
    <row r="40" spans="2:11">
      <c r="B40" s="10">
        <f>IF(B39&gt;=D6*12,"",B39+1)</f>
        <v>30</v>
      </c>
      <c r="C40" s="9">
        <f>IF(B40="","",IF(OR(B40=E6,D8&gt;ROUND((1+E5%)*F39,2)),ROUND((1+E5%)*F39,2),D8))</f>
        <v>40991</v>
      </c>
      <c r="D40" s="9">
        <f t="shared" si="2"/>
        <v>21635.57</v>
      </c>
      <c r="E40" s="9">
        <f>IF(B40="","",ROUND(E5%*F39,2))</f>
        <v>19355.43</v>
      </c>
      <c r="F40" s="9">
        <f t="shared" si="1"/>
        <v>1998061.0799999998</v>
      </c>
    </row>
    <row r="41" spans="2:11">
      <c r="B41" s="10">
        <f>IF(B40&gt;=D6*12,"",B40+1)</f>
        <v>31</v>
      </c>
      <c r="C41" s="9">
        <f>IF(B41="","",IF(OR(B41=E6,D8&gt;ROUND((1+E5%)*F40,2)),ROUND((1+E5%)*F40,2),D8))</f>
        <v>40991</v>
      </c>
      <c r="D41" s="9">
        <f t="shared" si="2"/>
        <v>21842.91</v>
      </c>
      <c r="E41" s="9">
        <f>IF(B41="","",ROUND(E5%*F40,2))</f>
        <v>19148.09</v>
      </c>
      <c r="F41" s="9">
        <f t="shared" si="1"/>
        <v>1976218.17</v>
      </c>
    </row>
    <row r="42" spans="2:11">
      <c r="B42" s="10">
        <f>IF(B41&gt;=D6*12,"",B41+1)</f>
        <v>32</v>
      </c>
      <c r="C42" s="9">
        <f>IF(B42="","",IF(OR(B42=E6,D8&gt;ROUND((1+E5%)*F41,2)),ROUND((1+E5%)*F41,2),D8))</f>
        <v>40991</v>
      </c>
      <c r="D42" s="9">
        <f t="shared" si="2"/>
        <v>22052.240000000002</v>
      </c>
      <c r="E42" s="9">
        <f>IF(B42="","",ROUND(E5%*F41,2))</f>
        <v>18938.759999999998</v>
      </c>
      <c r="F42" s="9">
        <f t="shared" si="1"/>
        <v>1954165.93</v>
      </c>
    </row>
    <row r="43" spans="2:11">
      <c r="B43" s="10">
        <f>IF(B42&gt;=D6*12,"",B42+1)</f>
        <v>33</v>
      </c>
      <c r="C43" s="9">
        <f>IF(B43="","",IF(OR(B43=E6,D8&gt;ROUND((1+E5%)*F42,2)),ROUND((1+E5%)*F42,2),D8))</f>
        <v>40991</v>
      </c>
      <c r="D43" s="9">
        <f t="shared" si="2"/>
        <v>22263.58</v>
      </c>
      <c r="E43" s="9">
        <f>IF(B43="","",ROUND(E5%*F42,2))</f>
        <v>18727.419999999998</v>
      </c>
      <c r="F43" s="9">
        <f t="shared" si="1"/>
        <v>1931902.3499999999</v>
      </c>
    </row>
    <row r="44" spans="2:11">
      <c r="B44" s="10">
        <f>IF(B43&gt;=D6*12,"",B43+1)</f>
        <v>34</v>
      </c>
      <c r="C44" s="9">
        <f>IF(B44="","",IF(OR(B44=E6,D8&gt;ROUND((1+E5%)*F43,2)),ROUND((1+E5%)*F43,2),D8))</f>
        <v>40991</v>
      </c>
      <c r="D44" s="9">
        <f t="shared" si="2"/>
        <v>22476.94</v>
      </c>
      <c r="E44" s="9">
        <f>IF(B44="","",ROUND(E5%*F43,2))</f>
        <v>18514.060000000001</v>
      </c>
      <c r="F44" s="9">
        <f t="shared" si="1"/>
        <v>1909425.41</v>
      </c>
    </row>
    <row r="45" spans="2:11">
      <c r="B45" s="10">
        <f>IF(B44&gt;=D6*12,"",B44+1)</f>
        <v>35</v>
      </c>
      <c r="C45" s="9">
        <f>IF(B45="","",IF(OR(B45=E6,D8&gt;ROUND((1+E5%)*F44,2)),ROUND((1+E5%)*F44,2),D8))</f>
        <v>40991</v>
      </c>
      <c r="D45" s="9">
        <f t="shared" si="2"/>
        <v>22692.34</v>
      </c>
      <c r="E45" s="9">
        <f>IF(B45="","",ROUND(E5%*F44,2))</f>
        <v>18298.66</v>
      </c>
      <c r="F45" s="9">
        <f t="shared" si="1"/>
        <v>1886733.0699999998</v>
      </c>
    </row>
    <row r="46" spans="2:11">
      <c r="B46" s="10">
        <f>IF(B45&gt;=D6*12,"",B45+1)</f>
        <v>36</v>
      </c>
      <c r="C46" s="9">
        <f>IF(B46="","",IF(OR(B46=E6,D8&gt;ROUND((1+E5%)*F45,2)),ROUND((1+E5%)*F45,2),D8))</f>
        <v>40991</v>
      </c>
      <c r="D46" s="9">
        <f t="shared" si="2"/>
        <v>22909.81</v>
      </c>
      <c r="E46" s="9">
        <f>IF(B46="","",ROUND(E5%*F45,2))</f>
        <v>18081.189999999999</v>
      </c>
      <c r="F46" s="9">
        <f t="shared" si="1"/>
        <v>1863823.2599999998</v>
      </c>
    </row>
    <row r="47" spans="2:11">
      <c r="B47" s="10">
        <f>IF(B46&gt;=D6*12,"",B46+1)</f>
        <v>37</v>
      </c>
      <c r="C47" s="9">
        <f>IF(B47="","",IF(OR(B47=E6,D8&gt;ROUND((1+E5%)*F46,2)),ROUND((1+E5%)*F46,2),D8))</f>
        <v>40991</v>
      </c>
      <c r="D47" s="9">
        <f t="shared" si="2"/>
        <v>23129.360000000001</v>
      </c>
      <c r="E47" s="9">
        <f>IF(B47="","",ROUND(E5%*F46,2))</f>
        <v>17861.64</v>
      </c>
      <c r="F47" s="9">
        <f t="shared" si="1"/>
        <v>1840693.8999999997</v>
      </c>
    </row>
    <row r="48" spans="2:11">
      <c r="B48" s="10">
        <f>IF(B47&gt;=D6*12,"",B47+1)</f>
        <v>38</v>
      </c>
      <c r="C48" s="9">
        <f>IF(B48="","",IF(OR(B48=E6,D8&gt;ROUND((1+E5%)*F47,2)),ROUND((1+E5%)*F47,2),D8))</f>
        <v>40991</v>
      </c>
      <c r="D48" s="9">
        <f t="shared" si="2"/>
        <v>23351.02</v>
      </c>
      <c r="E48" s="9">
        <f>IF(B48="","",ROUND(E5%*F47,2))</f>
        <v>17639.98</v>
      </c>
      <c r="F48" s="9">
        <f t="shared" si="1"/>
        <v>1817342.8799999997</v>
      </c>
    </row>
    <row r="49" spans="2:6">
      <c r="B49" s="10">
        <f>IF(B48&gt;=D6*12,"",B48+1)</f>
        <v>39</v>
      </c>
      <c r="C49" s="9">
        <f>IF(B49="","",IF(OR(B49=E6,D8&gt;ROUND((1+E5%)*F48,2)),ROUND((1+E5%)*F48,2),D8))</f>
        <v>40991</v>
      </c>
      <c r="D49" s="9">
        <f t="shared" si="2"/>
        <v>23574.799999999999</v>
      </c>
      <c r="E49" s="9">
        <f>IF(B49="","",ROUND(E5%*F48,2))</f>
        <v>17416.2</v>
      </c>
      <c r="F49" s="9">
        <f t="shared" si="1"/>
        <v>1793768.0799999996</v>
      </c>
    </row>
    <row r="50" spans="2:6">
      <c r="B50" s="10">
        <f>IF(B49&gt;=D6*12,"",B49+1)</f>
        <v>40</v>
      </c>
      <c r="C50" s="9">
        <f>IF(B50="","",IF(OR(B50=E6,D8&gt;ROUND((1+E5%)*F49,2)),ROUND((1+E5%)*F49,2),D8))</f>
        <v>40991</v>
      </c>
      <c r="D50" s="9">
        <f t="shared" si="2"/>
        <v>23800.720000000001</v>
      </c>
      <c r="E50" s="9">
        <f>IF(B50="","",ROUND(E5%*F49,2))</f>
        <v>17190.28</v>
      </c>
      <c r="F50" s="9">
        <f t="shared" si="1"/>
        <v>1769967.3599999996</v>
      </c>
    </row>
    <row r="51" spans="2:6">
      <c r="B51" s="10">
        <f>IF(B50&gt;=D6*12,"",B50+1)</f>
        <v>41</v>
      </c>
      <c r="C51" s="9">
        <f>IF(B51="","",IF(OR(B51=E6,D8&gt;ROUND((1+E5%)*F50,2)),ROUND((1+E5%)*F50,2),D8))</f>
        <v>40991</v>
      </c>
      <c r="D51" s="9">
        <f t="shared" si="2"/>
        <v>24028.81</v>
      </c>
      <c r="E51" s="9">
        <f>IF(B51="","",ROUND(E5%*F50,2))</f>
        <v>16962.189999999999</v>
      </c>
      <c r="F51" s="9">
        <f t="shared" si="1"/>
        <v>1745938.5499999996</v>
      </c>
    </row>
    <row r="52" spans="2:6">
      <c r="B52" s="10">
        <f>IF(B51&gt;=D6*12,"",B51+1)</f>
        <v>42</v>
      </c>
      <c r="C52" s="9">
        <f>IF(B52="","",IF(OR(B52=E6,D8&gt;ROUND((1+E5%)*F51,2)),ROUND((1+E5%)*F51,2),D8))</f>
        <v>40991</v>
      </c>
      <c r="D52" s="9">
        <f t="shared" si="2"/>
        <v>24259.09</v>
      </c>
      <c r="E52" s="9">
        <f>IF(B52="","",ROUND(E5%*F51,2))</f>
        <v>16731.91</v>
      </c>
      <c r="F52" s="9">
        <f t="shared" si="1"/>
        <v>1721679.4599999995</v>
      </c>
    </row>
    <row r="53" spans="2:6">
      <c r="B53" s="10">
        <f>IF(B52&gt;=D6*12,"",B52+1)</f>
        <v>43</v>
      </c>
      <c r="C53" s="9">
        <f>IF(B53="","",IF(OR(B53=E6,D8&gt;ROUND((1+E5%)*F52,2)),ROUND((1+E5%)*F52,2),D8))</f>
        <v>40991</v>
      </c>
      <c r="D53" s="9">
        <f t="shared" si="2"/>
        <v>24491.57</v>
      </c>
      <c r="E53" s="9">
        <f>IF(B53="","",ROUND(E5%*F52,2))</f>
        <v>16499.43</v>
      </c>
      <c r="F53" s="9">
        <f t="shared" si="1"/>
        <v>1697187.8899999994</v>
      </c>
    </row>
    <row r="54" spans="2:6">
      <c r="B54" s="10">
        <f>IF(B53&gt;=D6*12,"",B53+1)</f>
        <v>44</v>
      </c>
      <c r="C54" s="9">
        <f>IF(B54="","",IF(OR(B54=E6,D8&gt;ROUND((1+E5%)*F53,2)),ROUND((1+E5%)*F53,2),D8))</f>
        <v>40991</v>
      </c>
      <c r="D54" s="9">
        <f t="shared" si="2"/>
        <v>24726.28</v>
      </c>
      <c r="E54" s="9">
        <f>IF(B54="","",ROUND(E5%*F53,2))</f>
        <v>16264.72</v>
      </c>
      <c r="F54" s="9">
        <f t="shared" si="1"/>
        <v>1672461.6099999994</v>
      </c>
    </row>
    <row r="55" spans="2:6">
      <c r="B55" s="10">
        <f>IF(B54&gt;=D6*12,"",B54+1)</f>
        <v>45</v>
      </c>
      <c r="C55" s="9">
        <f>IF(B55="","",IF(OR(B55=E6,D8&gt;ROUND((1+E5%)*F54,2)),ROUND((1+E5%)*F54,2),D8))</f>
        <v>40991</v>
      </c>
      <c r="D55" s="9">
        <f t="shared" si="2"/>
        <v>24963.239999999998</v>
      </c>
      <c r="E55" s="9">
        <f>IF(B55="","",ROUND(E5%*F54,2))</f>
        <v>16027.76</v>
      </c>
      <c r="F55" s="9">
        <f t="shared" si="1"/>
        <v>1647498.3699999994</v>
      </c>
    </row>
    <row r="56" spans="2:6">
      <c r="B56" s="10">
        <f>IF(B55&gt;=D6*12,"",B55+1)</f>
        <v>46</v>
      </c>
      <c r="C56" s="9">
        <f>IF(B56="","",IF(OR(B56=E6,D8&gt;ROUND((1+E5%)*F55,2)),ROUND((1+E5%)*F55,2),D8))</f>
        <v>40991</v>
      </c>
      <c r="D56" s="9">
        <f t="shared" si="2"/>
        <v>25202.47</v>
      </c>
      <c r="E56" s="9">
        <f>IF(B56="","",ROUND(E5%*F55,2))</f>
        <v>15788.53</v>
      </c>
      <c r="F56" s="9">
        <f t="shared" si="1"/>
        <v>1622295.8999999994</v>
      </c>
    </row>
    <row r="57" spans="2:6">
      <c r="B57" s="10">
        <f>IF(B56&gt;=D6*12,"",B56+1)</f>
        <v>47</v>
      </c>
      <c r="C57" s="9">
        <f>IF(B57="","",IF(OR(B57=E6,D8&gt;ROUND((1+E5%)*F56,2)),ROUND((1+E5%)*F56,2),D8))</f>
        <v>40991</v>
      </c>
      <c r="D57" s="9">
        <f t="shared" si="2"/>
        <v>25444</v>
      </c>
      <c r="E57" s="9">
        <f>IF(B57="","",ROUND(E5%*F56,2))</f>
        <v>15547</v>
      </c>
      <c r="F57" s="9">
        <f t="shared" si="1"/>
        <v>1596851.8999999994</v>
      </c>
    </row>
    <row r="58" spans="2:6">
      <c r="B58" s="10">
        <f>IF(B57&gt;=D6*12,"",B57+1)</f>
        <v>48</v>
      </c>
      <c r="C58" s="9">
        <f>IF(B58="","",IF(OR(B58=E6,D8&gt;ROUND((1+E5%)*F57,2)),ROUND((1+E5%)*F57,2),D8))</f>
        <v>40991</v>
      </c>
      <c r="D58" s="9">
        <f t="shared" si="2"/>
        <v>25687.84</v>
      </c>
      <c r="E58" s="9">
        <f>IF(B58="","",ROUND(E5%*F57,2))</f>
        <v>15303.16</v>
      </c>
      <c r="F58" s="9">
        <f t="shared" si="1"/>
        <v>1571164.0599999994</v>
      </c>
    </row>
    <row r="59" spans="2:6">
      <c r="B59" s="10">
        <f>IF(B58&gt;=D6*12,"",B58+1)</f>
        <v>49</v>
      </c>
      <c r="C59" s="9">
        <f>IF(B59="","",IF(OR(B59=E6,D8&gt;ROUND((1+E5%)*F58,2)),ROUND((1+E5%)*F58,2),D8))</f>
        <v>40991</v>
      </c>
      <c r="D59" s="9">
        <f t="shared" si="2"/>
        <v>25934.010000000002</v>
      </c>
      <c r="E59" s="9">
        <f>IF(B59="","",ROUND(E5%*F58,2))</f>
        <v>15056.99</v>
      </c>
      <c r="F59" s="9">
        <f t="shared" si="1"/>
        <v>1545230.0499999993</v>
      </c>
    </row>
    <row r="60" spans="2:6">
      <c r="B60" s="10">
        <f>IF(B59&gt;=D6*12,"",B59+1)</f>
        <v>50</v>
      </c>
      <c r="C60" s="9">
        <f>IF(B60="","",IF(OR(B60=E6,D8&gt;ROUND((1+E5%)*F59,2)),ROUND((1+E5%)*F59,2),D8))</f>
        <v>40991</v>
      </c>
      <c r="D60" s="9">
        <f t="shared" si="2"/>
        <v>26182.55</v>
      </c>
      <c r="E60" s="9">
        <f>IF(B60="","",ROUND(E5%*F59,2))</f>
        <v>14808.45</v>
      </c>
      <c r="F60" s="9">
        <f t="shared" si="1"/>
        <v>1519047.4999999993</v>
      </c>
    </row>
    <row r="61" spans="2:6">
      <c r="B61" s="10">
        <f>IF(B60&gt;=D6*12,"",B60+1)</f>
        <v>51</v>
      </c>
      <c r="C61" s="9">
        <f>IF(B61="","",IF(OR(B61=E6,D8&gt;ROUND((1+E5%)*F60,2)),ROUND((1+E5%)*F60,2),D8))</f>
        <v>40991</v>
      </c>
      <c r="D61" s="9">
        <f t="shared" si="2"/>
        <v>26433.46</v>
      </c>
      <c r="E61" s="9">
        <f>IF(B61="","",ROUND(E5%*F60,2))</f>
        <v>14557.54</v>
      </c>
      <c r="F61" s="9">
        <f t="shared" si="1"/>
        <v>1492614.0399999993</v>
      </c>
    </row>
    <row r="62" spans="2:6">
      <c r="B62" s="10">
        <f>IF(B61&gt;=D6*12,"",B61+1)</f>
        <v>52</v>
      </c>
      <c r="C62" s="9">
        <f>IF(B62="","",IF(OR(B62=E6,D8&gt;ROUND((1+E5%)*F61,2)),ROUND((1+E5%)*F61,2),D8))</f>
        <v>40991</v>
      </c>
      <c r="D62" s="9">
        <f t="shared" si="2"/>
        <v>26686.78</v>
      </c>
      <c r="E62" s="9">
        <f>IF(B62="","",ROUND(E5%*F61,2))</f>
        <v>14304.22</v>
      </c>
      <c r="F62" s="9">
        <f t="shared" si="1"/>
        <v>1465927.2599999993</v>
      </c>
    </row>
    <row r="63" spans="2:6">
      <c r="B63" s="10">
        <f>IF(B62&gt;=D6*12,"",B62+1)</f>
        <v>53</v>
      </c>
      <c r="C63" s="9">
        <f>IF(B63="","",IF(OR(B63=E6,D8&gt;ROUND((1+E5%)*F62,2)),ROUND((1+E5%)*F62,2),D8))</f>
        <v>40991</v>
      </c>
      <c r="D63" s="9">
        <f t="shared" si="2"/>
        <v>26942.53</v>
      </c>
      <c r="E63" s="9">
        <f>IF(B63="","",ROUND(E5%*F62,2))</f>
        <v>14048.47</v>
      </c>
      <c r="F63" s="9">
        <f t="shared" si="1"/>
        <v>1438984.7299999993</v>
      </c>
    </row>
    <row r="64" spans="2:6">
      <c r="B64" s="10">
        <f>IF(B63&gt;=D6*12,"",B63+1)</f>
        <v>54</v>
      </c>
      <c r="C64" s="9">
        <f>IF(B64="","",IF(OR(B64=E6,D8&gt;ROUND((1+E5%)*F63,2)),ROUND((1+E5%)*F63,2),D8))</f>
        <v>40991</v>
      </c>
      <c r="D64" s="9">
        <f t="shared" si="2"/>
        <v>27200.73</v>
      </c>
      <c r="E64" s="9">
        <f>IF(B64="","",ROUND(E5%*F63,2))</f>
        <v>13790.27</v>
      </c>
      <c r="F64" s="9">
        <f t="shared" si="1"/>
        <v>1411783.9999999993</v>
      </c>
    </row>
    <row r="65" spans="2:6">
      <c r="B65" s="10">
        <f>IF(B64&gt;=D6*12,"",B64+1)</f>
        <v>55</v>
      </c>
      <c r="C65" s="9">
        <f>IF(B65="","",IF(OR(B65=E6,D8&gt;ROUND((1+E5%)*F64,2)),ROUND((1+E5%)*F64,2),D8))</f>
        <v>40991</v>
      </c>
      <c r="D65" s="9">
        <f t="shared" si="2"/>
        <v>27461.4</v>
      </c>
      <c r="E65" s="9">
        <f>IF(B65="","",ROUND(E5%*F64,2))</f>
        <v>13529.6</v>
      </c>
      <c r="F65" s="9">
        <f t="shared" si="1"/>
        <v>1384322.5999999994</v>
      </c>
    </row>
    <row r="66" spans="2:6">
      <c r="B66" s="10">
        <f>IF(B65&gt;=D6*12,"",B65+1)</f>
        <v>56</v>
      </c>
      <c r="C66" s="9">
        <f>IF(B66="","",IF(OR(B66=E6,D8&gt;ROUND((1+E5%)*F65,2)),ROUND((1+E5%)*F65,2),D8))</f>
        <v>40991</v>
      </c>
      <c r="D66" s="9">
        <f t="shared" si="2"/>
        <v>27724.58</v>
      </c>
      <c r="E66" s="9">
        <f>IF(B66="","",ROUND(E5%*F65,2))</f>
        <v>13266.42</v>
      </c>
      <c r="F66" s="9">
        <f t="shared" si="1"/>
        <v>1356598.0199999993</v>
      </c>
    </row>
    <row r="67" spans="2:6">
      <c r="B67" s="10">
        <f>IF(B66&gt;=D6*12,"",B66+1)</f>
        <v>57</v>
      </c>
      <c r="C67" s="9">
        <f>IF(B67="","",IF(OR(B67=E6,D8&gt;ROUND((1+E5%)*F66,2)),ROUND((1+E5%)*F66,2),D8))</f>
        <v>40991</v>
      </c>
      <c r="D67" s="9">
        <f t="shared" si="2"/>
        <v>27990.27</v>
      </c>
      <c r="E67" s="9">
        <f>IF(B67="","",ROUND(E5%*F66,2))</f>
        <v>13000.73</v>
      </c>
      <c r="F67" s="9">
        <f t="shared" si="1"/>
        <v>1328607.7499999993</v>
      </c>
    </row>
    <row r="68" spans="2:6">
      <c r="B68" s="10">
        <f>IF(B67&gt;=D6*12,"",B67+1)</f>
        <v>58</v>
      </c>
      <c r="C68" s="9">
        <f>IF(B68="","",IF(OR(B68=E6,D8&gt;ROUND((1+E5%)*F67,2)),ROUND((1+E5%)*F67,2),D8))</f>
        <v>40991</v>
      </c>
      <c r="D68" s="9">
        <f t="shared" si="2"/>
        <v>28258.510000000002</v>
      </c>
      <c r="E68" s="9">
        <f>IF(B68="","",ROUND(E5%*F67,2))</f>
        <v>12732.49</v>
      </c>
      <c r="F68" s="9">
        <f t="shared" si="1"/>
        <v>1300349.2399999993</v>
      </c>
    </row>
    <row r="69" spans="2:6">
      <c r="B69" s="10">
        <f>IF(B68&gt;=D6*12,"",B68+1)</f>
        <v>59</v>
      </c>
      <c r="C69" s="9">
        <f>IF(B69="","",IF(OR(B69=E6,D8&gt;ROUND((1+E5%)*F68,2)),ROUND((1+E5%)*F68,2),D8))</f>
        <v>40991</v>
      </c>
      <c r="D69" s="9">
        <f t="shared" si="2"/>
        <v>28529.32</v>
      </c>
      <c r="E69" s="9">
        <f>IF(B69="","",ROUND(E5%*F68,2))</f>
        <v>12461.68</v>
      </c>
      <c r="F69" s="9">
        <f t="shared" si="1"/>
        <v>1271819.9199999992</v>
      </c>
    </row>
    <row r="70" spans="2:6">
      <c r="B70" s="10">
        <f>IF(B69&gt;=D6*12,"",B69+1)</f>
        <v>60</v>
      </c>
      <c r="C70" s="9">
        <f>IF(B70="","",IF(OR(B70=E6,D8&gt;ROUND((1+E5%)*F69,2)),ROUND((1+E5%)*F69,2),D8))</f>
        <v>40991</v>
      </c>
      <c r="D70" s="9">
        <f t="shared" si="2"/>
        <v>28802.73</v>
      </c>
      <c r="E70" s="9">
        <f>IF(B70="","",ROUND(E5%*F69,2))</f>
        <v>12188.27</v>
      </c>
      <c r="F70" s="9">
        <f t="shared" si="1"/>
        <v>1243017.1899999992</v>
      </c>
    </row>
    <row r="71" spans="2:6">
      <c r="B71" s="10">
        <f>IF(B70&gt;=D6*12,"",B70+1)</f>
        <v>61</v>
      </c>
      <c r="C71" s="9">
        <f>IF(B71="","",IF(OR(B71=E6,D8&gt;ROUND((1+E5%)*F70,2)),ROUND((1+E5%)*F70,2),D8))</f>
        <v>40991</v>
      </c>
      <c r="D71" s="9">
        <f t="shared" si="2"/>
        <v>29078.75</v>
      </c>
      <c r="E71" s="9">
        <f>IF(B71="","",ROUND(E5%*F70,2))</f>
        <v>11912.25</v>
      </c>
      <c r="F71" s="9">
        <f t="shared" si="1"/>
        <v>1213938.4399999992</v>
      </c>
    </row>
    <row r="72" spans="2:6">
      <c r="B72" s="10">
        <f>IF(B71&gt;=D6*12,"",B71+1)</f>
        <v>62</v>
      </c>
      <c r="C72" s="9">
        <f>IF(B72="","",IF(OR(B72=E6,D8&gt;ROUND((1+E5%)*F71,2)),ROUND((1+E5%)*F71,2),D8))</f>
        <v>40991</v>
      </c>
      <c r="D72" s="9">
        <f t="shared" si="2"/>
        <v>29357.42</v>
      </c>
      <c r="E72" s="9">
        <f>IF(B72="","",ROUND(E5%*F71,2))</f>
        <v>11633.58</v>
      </c>
      <c r="F72" s="9">
        <f t="shared" si="1"/>
        <v>1184581.0199999993</v>
      </c>
    </row>
    <row r="73" spans="2:6">
      <c r="B73" s="10">
        <f>IF(B72&gt;=D6*12,"",B72+1)</f>
        <v>63</v>
      </c>
      <c r="C73" s="9">
        <f>IF(B73="","",IF(OR(B73=E6,D8&gt;ROUND((1+E5%)*F72,2)),ROUND((1+E5%)*F72,2),D8))</f>
        <v>40991</v>
      </c>
      <c r="D73" s="9">
        <f t="shared" si="2"/>
        <v>29638.77</v>
      </c>
      <c r="E73" s="9">
        <f>IF(B73="","",ROUND(E5%*F72,2))</f>
        <v>11352.23</v>
      </c>
      <c r="F73" s="9">
        <f t="shared" si="1"/>
        <v>1154942.2499999993</v>
      </c>
    </row>
    <row r="74" spans="2:6">
      <c r="B74" s="10">
        <f>IF(B73&gt;=D6*12,"",B73+1)</f>
        <v>64</v>
      </c>
      <c r="C74" s="9">
        <f>IF(B74="","",IF(OR(B74=E6,D8&gt;ROUND((1+E5%)*F73,2)),ROUND((1+E5%)*F73,2),D8))</f>
        <v>40991</v>
      </c>
      <c r="D74" s="9">
        <f t="shared" si="2"/>
        <v>29922.799999999999</v>
      </c>
      <c r="E74" s="9">
        <f>IF(B74="","",ROUND(E5%*F73,2))</f>
        <v>11068.2</v>
      </c>
      <c r="F74" s="9">
        <f t="shared" si="1"/>
        <v>1125019.4499999993</v>
      </c>
    </row>
    <row r="75" spans="2:6">
      <c r="B75" s="10">
        <f>IF(B74&gt;=D6*12,"",B74+1)</f>
        <v>65</v>
      </c>
      <c r="C75" s="9">
        <f>IF(B75="","",IF(OR(B75=E6,D8&gt;ROUND((1+E5%)*F74,2)),ROUND((1+E5%)*F74,2),D8))</f>
        <v>40991</v>
      </c>
      <c r="D75" s="9">
        <f t="shared" si="2"/>
        <v>30209.559999999998</v>
      </c>
      <c r="E75" s="9">
        <f>IF(B75="","",ROUND(E5%*F74,2))</f>
        <v>10781.44</v>
      </c>
      <c r="F75" s="9">
        <f t="shared" si="1"/>
        <v>1094809.8899999992</v>
      </c>
    </row>
    <row r="76" spans="2:6">
      <c r="B76" s="10">
        <f>IF(B75&gt;=D6*12,"",B75+1)</f>
        <v>66</v>
      </c>
      <c r="C76" s="9">
        <f>IF(B76="","",IF(OR(B76=E6,D8&gt;ROUND((1+E5%)*F75,2)),ROUND((1+E5%)*F75,2),D8))</f>
        <v>40991</v>
      </c>
      <c r="D76" s="9">
        <f t="shared" si="2"/>
        <v>30499.07</v>
      </c>
      <c r="E76" s="9">
        <f>IF(B76="","",ROUND(E5%*F75,2))</f>
        <v>10491.93</v>
      </c>
      <c r="F76" s="9">
        <f t="shared" ref="F76:F94" si="3">IF(B76="","",F75-D76)</f>
        <v>1064310.8199999991</v>
      </c>
    </row>
    <row r="77" spans="2:6">
      <c r="B77" s="10">
        <f>IF(B76&gt;=D6*12,"",B76+1)</f>
        <v>67</v>
      </c>
      <c r="C77" s="9">
        <f>IF(B77="","",IF(OR(B77=E6,D8&gt;ROUND((1+E5%)*F76,2)),ROUND((1+E5%)*F76,2),D8))</f>
        <v>40991</v>
      </c>
      <c r="D77" s="9">
        <f t="shared" si="2"/>
        <v>30791.35</v>
      </c>
      <c r="E77" s="9">
        <f>IF(B77="","",ROUND(E5%*F76,2))</f>
        <v>10199.65</v>
      </c>
      <c r="F77" s="9">
        <f t="shared" si="3"/>
        <v>1033519.4699999992</v>
      </c>
    </row>
    <row r="78" spans="2:6">
      <c r="B78" s="10">
        <f>IF(B77&gt;=D6*12,"",B77+1)</f>
        <v>68</v>
      </c>
      <c r="C78" s="9">
        <f>IF(B78="","",IF(OR(B78=E6,D8&gt;ROUND((1+E5%)*F77,2)),ROUND((1+E5%)*F77,2),D8))</f>
        <v>40991</v>
      </c>
      <c r="D78" s="9">
        <f t="shared" si="2"/>
        <v>31086.440000000002</v>
      </c>
      <c r="E78" s="9">
        <f>IF(B78="","",ROUND(E5%*F77,2))</f>
        <v>9904.56</v>
      </c>
      <c r="F78" s="9">
        <f t="shared" si="3"/>
        <v>1002433.0299999991</v>
      </c>
    </row>
    <row r="79" spans="2:6">
      <c r="B79" s="10">
        <f>IF(B78&gt;=D6*12,"",B78+1)</f>
        <v>69</v>
      </c>
      <c r="C79" s="9">
        <f>IF(B79="","",IF(OR(B79=E6,D8&gt;ROUND((1+E5%)*F78,2)),ROUND((1+E5%)*F78,2),D8))</f>
        <v>40991</v>
      </c>
      <c r="D79" s="9">
        <f t="shared" si="2"/>
        <v>31384.35</v>
      </c>
      <c r="E79" s="9">
        <f>IF(B79="","",ROUND(E5%*F78,2))</f>
        <v>9606.65</v>
      </c>
      <c r="F79" s="9">
        <f t="shared" si="3"/>
        <v>971048.67999999912</v>
      </c>
    </row>
    <row r="80" spans="2:6">
      <c r="B80" s="10">
        <f>IF(B79&gt;=D6*12,"",B79+1)</f>
        <v>70</v>
      </c>
      <c r="C80" s="9">
        <f>IF(B80="","",IF(OR(B80=E6,D8&gt;ROUND((1+E5%)*F79,2)),ROUND((1+E5%)*F79,2),D8))</f>
        <v>40991</v>
      </c>
      <c r="D80" s="9">
        <f t="shared" si="2"/>
        <v>31685.120000000003</v>
      </c>
      <c r="E80" s="9">
        <f>IF(B80="","",ROUND(E5%*F79,2))</f>
        <v>9305.8799999999992</v>
      </c>
      <c r="F80" s="9">
        <f t="shared" si="3"/>
        <v>939363.55999999912</v>
      </c>
    </row>
    <row r="81" spans="2:9">
      <c r="B81" s="10">
        <f>IF(B80&gt;=D6*12,"",B80+1)</f>
        <v>71</v>
      </c>
      <c r="C81" s="9">
        <f>IF(B81="","",IF(OR(B81=E6,D8&gt;ROUND((1+E5%)*F80,2)),ROUND((1+E5%)*F80,2),D8))</f>
        <v>40991</v>
      </c>
      <c r="D81" s="9">
        <f t="shared" si="2"/>
        <v>31988.77</v>
      </c>
      <c r="E81" s="9">
        <f>IF(B81="","",ROUND(E5%*F80,2))</f>
        <v>9002.23</v>
      </c>
      <c r="F81" s="9">
        <f t="shared" si="3"/>
        <v>907374.78999999911</v>
      </c>
    </row>
    <row r="82" spans="2:9">
      <c r="B82" s="10">
        <f>IF(B81&gt;=D6*12,"",B81+1)</f>
        <v>72</v>
      </c>
      <c r="C82" s="9">
        <f>IF(B82="","",IF(OR(B82=E6,D8&gt;ROUND((1+E5%)*F81,2)),ROUND((1+E5%)*F81,2),D8))</f>
        <v>40991</v>
      </c>
      <c r="D82" s="9">
        <f t="shared" si="2"/>
        <v>32295.32</v>
      </c>
      <c r="E82" s="9">
        <f>IF(B82="","",ROUND(E5%*F81,2))</f>
        <v>8695.68</v>
      </c>
      <c r="F82" s="9">
        <f t="shared" si="3"/>
        <v>875079.46999999916</v>
      </c>
    </row>
    <row r="83" spans="2:9">
      <c r="B83" s="10">
        <f>IF(B82&gt;=D6*12,"",B82+1)</f>
        <v>73</v>
      </c>
      <c r="C83" s="9">
        <f>IF(B83="","",IF(OR(B83=E6,D8&gt;ROUND((1+E5%)*F82,2)),ROUND((1+E5%)*F82,2),D8))</f>
        <v>40991</v>
      </c>
      <c r="D83" s="9">
        <f t="shared" si="2"/>
        <v>32604.82</v>
      </c>
      <c r="E83" s="9">
        <f>IF(B83="","",ROUND(E5%*F82,2))</f>
        <v>8386.18</v>
      </c>
      <c r="F83" s="9">
        <f t="shared" si="3"/>
        <v>842474.64999999921</v>
      </c>
    </row>
    <row r="84" spans="2:9">
      <c r="B84" s="10">
        <f>IF(B83&gt;=D6*12,"",B83+1)</f>
        <v>74</v>
      </c>
      <c r="C84" s="9">
        <f>IF(B84="","",IF(OR(B84=E6,D8&gt;ROUND((1+E5%)*F83,2)),ROUND((1+E5%)*F83,2),D8))</f>
        <v>40991</v>
      </c>
      <c r="D84" s="9">
        <f t="shared" si="2"/>
        <v>32917.279999999999</v>
      </c>
      <c r="E84" s="9">
        <f>IF(B84="","",ROUND(E5%*F83,2))</f>
        <v>8073.72</v>
      </c>
      <c r="F84" s="9">
        <f t="shared" si="3"/>
        <v>809557.36999999918</v>
      </c>
    </row>
    <row r="85" spans="2:9">
      <c r="B85" s="10">
        <f>IF(B84&gt;=D6*12,"",B84+1)</f>
        <v>75</v>
      </c>
      <c r="C85" s="9">
        <f>IF(B85="","",IF(OR(B85=E6,D8&gt;ROUND((1+E5%)*F84,2)),ROUND((1+E5%)*F84,2),D8))</f>
        <v>40991</v>
      </c>
      <c r="D85" s="9">
        <f t="shared" si="2"/>
        <v>33232.74</v>
      </c>
      <c r="E85" s="9">
        <f>IF(B85="","",ROUND(E5%*F84,2))</f>
        <v>7758.26</v>
      </c>
      <c r="F85" s="9">
        <f t="shared" si="3"/>
        <v>776324.62999999919</v>
      </c>
    </row>
    <row r="86" spans="2:9">
      <c r="B86" s="10">
        <f>IF(B85&gt;=D6*12,"",B85+1)</f>
        <v>76</v>
      </c>
      <c r="C86" s="9">
        <f>IF(B86="","",IF(OR(B86=E6,D8&gt;ROUND((1+E5%)*F85,2)),ROUND((1+E5%)*F85,2),D8))</f>
        <v>40991</v>
      </c>
      <c r="D86" s="9">
        <f t="shared" si="2"/>
        <v>33551.22</v>
      </c>
      <c r="E86" s="9">
        <f>IF(B86="","",ROUND(E5%*F85,2))</f>
        <v>7439.78</v>
      </c>
      <c r="F86" s="9">
        <f t="shared" si="3"/>
        <v>742773.40999999922</v>
      </c>
    </row>
    <row r="87" spans="2:9">
      <c r="B87" s="10">
        <f>IF(B86&gt;=D6*12,"",B86+1)</f>
        <v>77</v>
      </c>
      <c r="C87" s="9">
        <f>IF(B87="","",IF(OR(B87=E6,D8&gt;ROUND((1+E5%)*F86,2)),ROUND((1+E5%)*F86,2),D8))</f>
        <v>40991</v>
      </c>
      <c r="D87" s="9">
        <f t="shared" ref="D87:D94" si="4">IF(B87="","",C87-E87)</f>
        <v>33872.75</v>
      </c>
      <c r="E87" s="9">
        <f>IF(B87="","",ROUND(E5%*F86,2))</f>
        <v>7118.25</v>
      </c>
      <c r="F87" s="9">
        <f t="shared" si="3"/>
        <v>708900.65999999922</v>
      </c>
    </row>
    <row r="88" spans="2:9">
      <c r="B88" s="10">
        <f>IF(B87&gt;=D6*12,"",B87+1)</f>
        <v>78</v>
      </c>
      <c r="C88" s="9">
        <f>IF(B88="","",IF(OR(B88=E6,D8&gt;ROUND((1+E5%)*F87,2)),ROUND((1+E5%)*F87,2),D8))</f>
        <v>40991</v>
      </c>
      <c r="D88" s="9">
        <f t="shared" si="4"/>
        <v>34197.370000000003</v>
      </c>
      <c r="E88" s="9">
        <f>IF(B88="","",ROUND(E5%*F87,2))</f>
        <v>6793.63</v>
      </c>
      <c r="F88" s="9">
        <f t="shared" si="3"/>
        <v>674703.28999999922</v>
      </c>
    </row>
    <row r="89" spans="2:9">
      <c r="B89" s="10">
        <f>IF(B88&gt;=D6*12,"",B88+1)</f>
        <v>79</v>
      </c>
      <c r="C89" s="9">
        <f>IF(B89="","",IF(OR(B89=E6,D8&gt;ROUND((1+E5%)*F88,2)),ROUND((1+E5%)*F88,2),D8))</f>
        <v>40991</v>
      </c>
      <c r="D89" s="9">
        <f t="shared" si="4"/>
        <v>34525.089999999997</v>
      </c>
      <c r="E89" s="9">
        <f>IF(B89="","",ROUND(E5%*F88,2))</f>
        <v>6465.91</v>
      </c>
      <c r="F89" s="9">
        <f t="shared" si="3"/>
        <v>640178.19999999925</v>
      </c>
    </row>
    <row r="90" spans="2:9">
      <c r="B90" s="10">
        <f>IF(B89&gt;=D6*12,"",B89+1)</f>
        <v>80</v>
      </c>
      <c r="C90" s="9">
        <f>IF(B90="","",IF(OR(B90=E6,D8&gt;ROUND((1+E5%)*F89,2)),ROUND((1+E5%)*F89,2),D8))</f>
        <v>40991</v>
      </c>
      <c r="D90" s="9">
        <f t="shared" si="4"/>
        <v>34855.96</v>
      </c>
      <c r="E90" s="9">
        <f>IF(B90="","",ROUND(E5%*F89,2))</f>
        <v>6135.04</v>
      </c>
      <c r="F90" s="9">
        <f t="shared" si="3"/>
        <v>605322.23999999929</v>
      </c>
    </row>
    <row r="91" spans="2:9">
      <c r="B91" s="10">
        <f>IF(B90&gt;=D6*12,"",B90+1)</f>
        <v>81</v>
      </c>
      <c r="C91" s="9">
        <f>IF(B91="","",IF(OR(B91=E6,D8&gt;ROUND((1+E5%)*F90,2)),ROUND((1+E5%)*F90,2),D8))</f>
        <v>40991</v>
      </c>
      <c r="D91" s="9">
        <f t="shared" si="4"/>
        <v>35190</v>
      </c>
      <c r="E91" s="9">
        <f>IF(B91="","",ROUND(E5%*F90,2))</f>
        <v>5801</v>
      </c>
      <c r="F91" s="9">
        <f t="shared" si="3"/>
        <v>570132.23999999929</v>
      </c>
    </row>
    <row r="92" spans="2:9">
      <c r="B92" s="10">
        <f>IF(B91&gt;=D6*12,"",B91+1)</f>
        <v>82</v>
      </c>
      <c r="C92" s="9">
        <f>IF(B92="","",IF(OR(B92=E6,D8&gt;ROUND((1+E5%)*F91,2)),ROUND((1+E5%)*F91,2),D8))</f>
        <v>40991</v>
      </c>
      <c r="D92" s="9">
        <f t="shared" si="4"/>
        <v>35527.229999999996</v>
      </c>
      <c r="E92" s="9">
        <f>IF(B92="","",ROUND(E5%*F91,2))</f>
        <v>5463.77</v>
      </c>
      <c r="F92" s="9">
        <f t="shared" si="3"/>
        <v>534605.00999999931</v>
      </c>
    </row>
    <row r="93" spans="2:9">
      <c r="B93" s="10">
        <f>IF(B92&gt;=D6*12,"",B92+1)</f>
        <v>83</v>
      </c>
      <c r="C93" s="9">
        <f>IF(B93="","",IF(OR(B93=E6,D8&gt;ROUND((1+E5%)*F92,2)),ROUND((1+E5%)*F92,2),D8))</f>
        <v>40991</v>
      </c>
      <c r="D93" s="9">
        <f t="shared" si="4"/>
        <v>35867.699999999997</v>
      </c>
      <c r="E93" s="9">
        <f>IF(B93="","",ROUND(E5%*F92,2))</f>
        <v>5123.3</v>
      </c>
      <c r="F93" s="9">
        <f t="shared" si="3"/>
        <v>498737.3099999993</v>
      </c>
    </row>
    <row r="94" spans="2:9">
      <c r="B94" s="10">
        <f>IF(B93&gt;=D6*12,"",B93+1)</f>
        <v>84</v>
      </c>
      <c r="C94" s="9">
        <f>IF(B94="","",IF(OR(B94=E6,D8&gt;ROUND((1+E5%)*F93,2)),ROUND((1+E5%)*F93,2),D8))</f>
        <v>503516.88</v>
      </c>
      <c r="D94" s="9">
        <f t="shared" si="4"/>
        <v>498737.31</v>
      </c>
      <c r="E94" s="9">
        <f>IF(B94="","",ROUND(E5%*F93,2))</f>
        <v>4779.57</v>
      </c>
      <c r="F94" s="9">
        <f t="shared" si="3"/>
        <v>-6.9849193096160889E-10</v>
      </c>
      <c r="G94" s="35"/>
      <c r="H94" s="35"/>
      <c r="I94" s="35"/>
    </row>
  </sheetData>
  <hyperlinks>
    <hyperlink ref="D4" location="Sheet1!C3" display="Home"/>
  </hyperlink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>
      <selection activeCell="E23" sqref="E23"/>
    </sheetView>
  </sheetViews>
  <sheetFormatPr defaultRowHeight="14.4"/>
  <cols>
    <col min="2" max="2" width="17.88671875" customWidth="1"/>
    <col min="3" max="3" width="12.33203125" customWidth="1"/>
    <col min="4" max="4" width="12.21875" customWidth="1"/>
    <col min="5" max="5" width="14.77734375" customWidth="1"/>
    <col min="6" max="6" width="13.6640625" customWidth="1"/>
    <col min="7" max="7" width="17.44140625" customWidth="1"/>
  </cols>
  <sheetData>
    <row r="1" spans="1:9">
      <c r="A1" s="11"/>
      <c r="B1" s="11"/>
      <c r="C1" s="11"/>
      <c r="D1" s="27" t="s">
        <v>143</v>
      </c>
      <c r="E1" s="11"/>
      <c r="F1" s="11"/>
      <c r="G1" s="11"/>
      <c r="H1" s="1"/>
      <c r="I1" s="1"/>
    </row>
    <row r="2" spans="1:9">
      <c r="A2" s="11"/>
      <c r="B2" s="11"/>
      <c r="C2" s="11" t="s">
        <v>137</v>
      </c>
      <c r="D2" s="11"/>
      <c r="E2" s="11" t="s">
        <v>138</v>
      </c>
      <c r="F2" s="11"/>
      <c r="G2" s="11"/>
      <c r="H2" s="1" t="s">
        <v>195</v>
      </c>
      <c r="I2" s="1"/>
    </row>
    <row r="3" spans="1:9">
      <c r="A3" s="11" t="s">
        <v>139</v>
      </c>
      <c r="B3" s="11" t="s">
        <v>140</v>
      </c>
      <c r="C3" s="11" t="s">
        <v>141</v>
      </c>
      <c r="D3" s="11" t="s">
        <v>142</v>
      </c>
      <c r="E3" s="11" t="s">
        <v>140</v>
      </c>
      <c r="F3" s="11" t="s">
        <v>141</v>
      </c>
      <c r="G3" s="11" t="s">
        <v>142</v>
      </c>
      <c r="H3" s="1"/>
      <c r="I3" s="1"/>
    </row>
    <row r="4" spans="1:9">
      <c r="A4" s="11">
        <v>1</v>
      </c>
      <c r="B4" s="8">
        <f>Investment!C8+Investment!C9+Investment!C10+Investment!C11</f>
        <v>525000</v>
      </c>
      <c r="C4" s="8">
        <f>B4*'Techno Economic Parameters'!C70%</f>
        <v>52500</v>
      </c>
      <c r="D4" s="8">
        <f t="shared" ref="D4:D10" si="0">B4-C4</f>
        <v>472500</v>
      </c>
      <c r="E4" s="8">
        <f>Investment!C12+Investment!C13+Investment!C14+Investment!C15+Investment!C16+Investment!C17+Investment!C18+Investment!C19</f>
        <v>53100</v>
      </c>
      <c r="F4" s="8">
        <f>E4*'Techno Economic Parameters'!C71%</f>
        <v>7965</v>
      </c>
      <c r="G4" s="8">
        <f t="shared" ref="G4:G10" si="1">E4-F4</f>
        <v>45135</v>
      </c>
    </row>
    <row r="5" spans="1:9">
      <c r="A5" s="11">
        <v>2</v>
      </c>
      <c r="B5" s="8">
        <f t="shared" ref="B5:B10" si="2">D4</f>
        <v>472500</v>
      </c>
      <c r="C5" s="8">
        <f>B5*'Techno Economic Parameters'!C70%</f>
        <v>47250</v>
      </c>
      <c r="D5" s="8">
        <f t="shared" si="0"/>
        <v>425250</v>
      </c>
      <c r="E5" s="8">
        <f t="shared" ref="E5:E10" si="3">G4</f>
        <v>45135</v>
      </c>
      <c r="F5" s="8">
        <f>E5*'Techno Economic Parameters'!C71%</f>
        <v>6770.25</v>
      </c>
      <c r="G5" s="8">
        <f t="shared" si="1"/>
        <v>38364.75</v>
      </c>
    </row>
    <row r="6" spans="1:9">
      <c r="A6" s="11">
        <v>3</v>
      </c>
      <c r="B6" s="8">
        <f t="shared" si="2"/>
        <v>425250</v>
      </c>
      <c r="C6" s="8">
        <f>B6*'Techno Economic Parameters'!C70%</f>
        <v>42525</v>
      </c>
      <c r="D6" s="8">
        <f t="shared" si="0"/>
        <v>382725</v>
      </c>
      <c r="E6" s="8">
        <f t="shared" si="3"/>
        <v>38364.75</v>
      </c>
      <c r="F6" s="8">
        <f>E6*'Techno Economic Parameters'!C71%</f>
        <v>5754.7124999999996</v>
      </c>
      <c r="G6" s="8">
        <f t="shared" si="1"/>
        <v>32610.037499999999</v>
      </c>
    </row>
    <row r="7" spans="1:9">
      <c r="A7" s="11">
        <v>4</v>
      </c>
      <c r="B7" s="8">
        <f t="shared" si="2"/>
        <v>382725</v>
      </c>
      <c r="C7" s="8">
        <f>B7*'Techno Economic Parameters'!C70%</f>
        <v>38272.5</v>
      </c>
      <c r="D7" s="8">
        <f t="shared" si="0"/>
        <v>344452.5</v>
      </c>
      <c r="E7" s="8">
        <f t="shared" si="3"/>
        <v>32610.037499999999</v>
      </c>
      <c r="F7" s="8">
        <f>E7*'Techno Economic Parameters'!C71%</f>
        <v>4891.5056249999998</v>
      </c>
      <c r="G7" s="8">
        <f t="shared" si="1"/>
        <v>27718.531875000001</v>
      </c>
    </row>
    <row r="8" spans="1:9">
      <c r="A8" s="11">
        <v>5</v>
      </c>
      <c r="B8" s="8">
        <f t="shared" si="2"/>
        <v>344452.5</v>
      </c>
      <c r="C8" s="8">
        <f>B8*'Techno Economic Parameters'!C70%</f>
        <v>34445.25</v>
      </c>
      <c r="D8" s="8">
        <f t="shared" si="0"/>
        <v>310007.25</v>
      </c>
      <c r="E8" s="8">
        <f t="shared" si="3"/>
        <v>27718.531875000001</v>
      </c>
      <c r="F8" s="8">
        <f>E8*'Techno Economic Parameters'!C71%</f>
        <v>4157.7797812500003</v>
      </c>
      <c r="G8" s="8">
        <f t="shared" si="1"/>
        <v>23560.752093750001</v>
      </c>
    </row>
    <row r="9" spans="1:9">
      <c r="A9" s="11">
        <v>6</v>
      </c>
      <c r="B9" s="8">
        <f t="shared" si="2"/>
        <v>310007.25</v>
      </c>
      <c r="C9" s="8">
        <f>B9*'Techno Economic Parameters'!C70%</f>
        <v>31000.725000000002</v>
      </c>
      <c r="D9" s="8">
        <f t="shared" si="0"/>
        <v>279006.52500000002</v>
      </c>
      <c r="E9" s="8">
        <f t="shared" si="3"/>
        <v>23560.752093750001</v>
      </c>
      <c r="F9" s="8">
        <f>E9*'Techno Economic Parameters'!C71%</f>
        <v>3534.1128140625001</v>
      </c>
      <c r="G9" s="8">
        <f t="shared" si="1"/>
        <v>20026.639279687501</v>
      </c>
    </row>
    <row r="10" spans="1:9">
      <c r="A10" s="11">
        <v>7</v>
      </c>
      <c r="B10" s="8">
        <f t="shared" si="2"/>
        <v>279006.52500000002</v>
      </c>
      <c r="C10" s="8">
        <f>B10*'Techno Economic Parameters'!C70%</f>
        <v>27900.652500000004</v>
      </c>
      <c r="D10" s="8">
        <f t="shared" si="0"/>
        <v>251105.87250000003</v>
      </c>
      <c r="E10" s="8">
        <f t="shared" si="3"/>
        <v>20026.639279687501</v>
      </c>
      <c r="F10" s="8">
        <f>E10*'Techno Economic Parameters'!C71%</f>
        <v>3003.995891953125</v>
      </c>
      <c r="G10" s="8">
        <f t="shared" si="1"/>
        <v>17022.643387734377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2:I38"/>
  <sheetViews>
    <sheetView workbookViewId="0">
      <selection activeCell="D12" sqref="D12"/>
    </sheetView>
  </sheetViews>
  <sheetFormatPr defaultRowHeight="14.4"/>
  <cols>
    <col min="3" max="3" width="12.88671875" customWidth="1"/>
    <col min="4" max="4" width="18.6640625" customWidth="1"/>
    <col min="5" max="5" width="13.6640625" customWidth="1"/>
    <col min="6" max="6" width="17.88671875" customWidth="1"/>
    <col min="7" max="7" width="13.88671875" customWidth="1"/>
  </cols>
  <sheetData>
    <row r="2" spans="2:8">
      <c r="D2" s="23" t="s">
        <v>144</v>
      </c>
    </row>
    <row r="3" spans="2:8">
      <c r="B3" s="25" t="s">
        <v>145</v>
      </c>
    </row>
    <row r="5" spans="2:8" s="1" customFormat="1">
      <c r="B5" s="11" t="s">
        <v>139</v>
      </c>
      <c r="C5" s="11" t="s">
        <v>146</v>
      </c>
      <c r="D5" s="11" t="s">
        <v>147</v>
      </c>
      <c r="E5" s="11" t="s">
        <v>148</v>
      </c>
      <c r="F5" s="11" t="s">
        <v>149</v>
      </c>
      <c r="G5" s="11" t="s">
        <v>150</v>
      </c>
    </row>
    <row r="6" spans="2:8">
      <c r="B6" s="10">
        <v>1</v>
      </c>
      <c r="C6" s="8">
        <f>'Cash flow'!C5</f>
        <v>1125283.22</v>
      </c>
      <c r="D6" s="8">
        <f>'Cash flow'!C6</f>
        <v>2696250</v>
      </c>
      <c r="E6" s="16">
        <f>1/((1+'Techno Economic Parameters'!$C$47%)^'Financial Analysis'!B6)</f>
        <v>0.89686098654708524</v>
      </c>
      <c r="F6" s="8">
        <f>C6*E6</f>
        <v>1009222.6188340808</v>
      </c>
      <c r="G6" s="8">
        <f>E6*D6</f>
        <v>2418161.4349775785</v>
      </c>
    </row>
    <row r="7" spans="2:8">
      <c r="B7" s="10">
        <v>2</v>
      </c>
      <c r="C7" s="8">
        <f>'Cash flow'!D5</f>
        <v>1096322.3999999999</v>
      </c>
      <c r="D7" s="8">
        <f>'Cash flow'!D6</f>
        <v>2696250</v>
      </c>
      <c r="E7" s="16">
        <f>1/((1+'Techno Economic Parameters'!$C$47%)^'Financial Analysis'!B7)</f>
        <v>0.80435962919021098</v>
      </c>
      <c r="F7" s="8">
        <f t="shared" ref="F7:F12" si="0">C7*E7</f>
        <v>881837.47913692205</v>
      </c>
      <c r="G7" s="8">
        <f t="shared" ref="G7:G12" si="1">E7*D7</f>
        <v>2168754.6502041062</v>
      </c>
      <c r="H7" s="15"/>
    </row>
    <row r="8" spans="2:8">
      <c r="B8" s="10">
        <v>3</v>
      </c>
      <c r="C8" s="8">
        <f>'Cash flow'!E5</f>
        <v>1062354.8224999998</v>
      </c>
      <c r="D8" s="8">
        <f>'Cash flow'!E6</f>
        <v>2696250</v>
      </c>
      <c r="E8" s="16">
        <f>1/((1+'Techno Economic Parameters'!$C$47%)^'Financial Analysis'!B8)</f>
        <v>0.72139877057418023</v>
      </c>
      <c r="F8" s="8">
        <f t="shared" si="0"/>
        <v>766381.46286505135</v>
      </c>
      <c r="G8" s="8">
        <f t="shared" si="1"/>
        <v>1945071.4351606334</v>
      </c>
    </row>
    <row r="9" spans="2:8">
      <c r="B9" s="10">
        <v>4</v>
      </c>
      <c r="C9" s="8">
        <f>'Cash flow'!F5</f>
        <v>1025589.305625</v>
      </c>
      <c r="D9" s="8">
        <f>'Cash flow'!F6</f>
        <v>2696250</v>
      </c>
      <c r="E9" s="16">
        <f>1/((1+'Techno Economic Parameters'!$C$47%)^'Financial Analysis'!B9)</f>
        <v>0.64699441307101357</v>
      </c>
      <c r="F9" s="8">
        <f t="shared" si="0"/>
        <v>663550.55084475526</v>
      </c>
      <c r="G9" s="8">
        <f t="shared" si="1"/>
        <v>1744458.6862427203</v>
      </c>
    </row>
    <row r="10" spans="2:8">
      <c r="B10" s="10">
        <v>5</v>
      </c>
      <c r="C10" s="8">
        <f>'Cash flow'!G5</f>
        <v>985540.65978125005</v>
      </c>
      <c r="D10" s="8">
        <f>'Cash flow'!G6</f>
        <v>2696250</v>
      </c>
      <c r="E10" s="16">
        <f>1/((1+'Techno Economic Parameters'!$C$47%)^'Financial Analysis'!B10)</f>
        <v>0.58026404759732153</v>
      </c>
      <c r="F10" s="8">
        <f t="shared" si="0"/>
        <v>571873.81231640291</v>
      </c>
      <c r="G10" s="8">
        <f t="shared" si="1"/>
        <v>1564536.9383342781</v>
      </c>
    </row>
    <row r="11" spans="2:8">
      <c r="B11" s="10">
        <v>6</v>
      </c>
      <c r="C11" s="8">
        <f>'Cash flow'!H5</f>
        <v>941681.61781406251</v>
      </c>
      <c r="D11" s="8">
        <f>'Cash flow'!H6</f>
        <v>2696250</v>
      </c>
      <c r="E11" s="16">
        <f>1/((1+'Techno Economic Parameters'!$C$47%)^'Financial Analysis'!B11)</f>
        <v>0.52041618618593866</v>
      </c>
      <c r="F11" s="8">
        <f t="shared" si="0"/>
        <v>490066.35614419909</v>
      </c>
      <c r="G11" s="8">
        <f t="shared" si="1"/>
        <v>1403172.142003837</v>
      </c>
    </row>
    <row r="12" spans="2:8">
      <c r="B12" s="10">
        <v>7</v>
      </c>
      <c r="C12" s="8">
        <f>'Cash flow'!I5</f>
        <v>893435.55839195312</v>
      </c>
      <c r="D12" s="8">
        <f>'Cash flow'!I6</f>
        <v>2696250</v>
      </c>
      <c r="E12" s="16">
        <f>1/((1+'Techno Economic Parameters'!$C$47%)^'Financial Analysis'!B12)</f>
        <v>0.46674097415779248</v>
      </c>
      <c r="F12" s="8">
        <f t="shared" si="0"/>
        <v>417002.98287107149</v>
      </c>
      <c r="G12" s="8">
        <f t="shared" si="1"/>
        <v>1258450.351572948</v>
      </c>
    </row>
    <row r="14" spans="2:8">
      <c r="E14" s="1" t="s">
        <v>99</v>
      </c>
      <c r="F14" s="19">
        <f>SUM(F6:F13)</f>
        <v>4799935.2630124828</v>
      </c>
      <c r="G14" s="19">
        <f>SUM(G6:G13)</f>
        <v>12502605.638496103</v>
      </c>
    </row>
    <row r="15" spans="2:8">
      <c r="E15" s="28" t="s">
        <v>152</v>
      </c>
      <c r="F15" s="29">
        <f>G14-F14</f>
        <v>7702670.37548362</v>
      </c>
      <c r="G15" s="11"/>
    </row>
    <row r="16" spans="2:8">
      <c r="E16" s="28" t="s">
        <v>16</v>
      </c>
      <c r="F16" s="30">
        <f>G14/F14</f>
        <v>2.6047446378785857</v>
      </c>
      <c r="G16" s="11"/>
    </row>
    <row r="17" spans="2:9">
      <c r="B17" s="25" t="s">
        <v>159</v>
      </c>
      <c r="E17" s="1"/>
      <c r="F17" s="18"/>
      <c r="G17" s="1"/>
    </row>
    <row r="18" spans="2:9" s="1" customFormat="1">
      <c r="B18" s="11" t="s">
        <v>139</v>
      </c>
      <c r="C18" s="11" t="s">
        <v>153</v>
      </c>
      <c r="D18" s="11" t="s">
        <v>155</v>
      </c>
      <c r="E18" s="11" t="s">
        <v>154</v>
      </c>
      <c r="F18" s="11" t="s">
        <v>156</v>
      </c>
    </row>
    <row r="19" spans="2:9">
      <c r="B19" s="10">
        <v>1</v>
      </c>
      <c r="C19" s="8">
        <f>D6-C6</f>
        <v>1570966.78</v>
      </c>
      <c r="D19" s="8">
        <f t="shared" ref="D19:D25" si="2">C19*E6</f>
        <v>1408938.8161434978</v>
      </c>
      <c r="E19" s="16">
        <f>1/(((1+(('Techno Economic Parameters'!$C$47+20)%))^'Financial Analysis'!B6))</f>
        <v>0.76045627376425862</v>
      </c>
      <c r="F19" s="8">
        <f>C19*E19</f>
        <v>1194651.5437262359</v>
      </c>
    </row>
    <row r="20" spans="2:9">
      <c r="B20" s="10">
        <v>2</v>
      </c>
      <c r="C20" s="8">
        <f t="shared" ref="C20:C25" si="3">D7-C7</f>
        <v>1599927.6</v>
      </c>
      <c r="D20" s="8">
        <f t="shared" si="2"/>
        <v>1286917.1710671843</v>
      </c>
      <c r="E20" s="16">
        <f>1/(((1+(('Techno Economic Parameters'!$C$47+20)%))^'Financial Analysis'!B7))</f>
        <v>0.57829374430742098</v>
      </c>
      <c r="F20" s="8">
        <f t="shared" ref="F20:F25" si="4">C20*E20</f>
        <v>925228.12242478575</v>
      </c>
    </row>
    <row r="21" spans="2:9">
      <c r="B21" s="10">
        <v>3</v>
      </c>
      <c r="C21" s="8">
        <f t="shared" si="3"/>
        <v>1633895.1775000002</v>
      </c>
      <c r="D21" s="8">
        <f t="shared" si="2"/>
        <v>1178689.9722955821</v>
      </c>
      <c r="E21" s="16">
        <f>1/(((1+(('Techno Economic Parameters'!$C$47+20)%))^'Financial Analysis'!B8))</f>
        <v>0.43976710593720231</v>
      </c>
      <c r="F21" s="8">
        <f t="shared" si="4"/>
        <v>718533.35361392656</v>
      </c>
    </row>
    <row r="22" spans="2:9">
      <c r="B22" s="10">
        <v>4</v>
      </c>
      <c r="C22" s="8">
        <f t="shared" si="3"/>
        <v>1670660.694375</v>
      </c>
      <c r="D22" s="8">
        <f t="shared" si="2"/>
        <v>1080908.1353979651</v>
      </c>
      <c r="E22" s="16">
        <f>1/(((1+(('Techno Economic Parameters'!$C$47+20)%))^'Financial Analysis'!B9))</f>
        <v>0.33442365470509688</v>
      </c>
      <c r="F22" s="8">
        <f t="shared" si="4"/>
        <v>558708.45518504234</v>
      </c>
    </row>
    <row r="23" spans="2:9">
      <c r="B23" s="10">
        <v>5</v>
      </c>
      <c r="C23" s="8">
        <f t="shared" si="3"/>
        <v>1710709.3402187498</v>
      </c>
      <c r="D23" s="8">
        <f t="shared" si="2"/>
        <v>992663.12601787515</v>
      </c>
      <c r="E23" s="16">
        <f>1/(((1+(('Techno Economic Parameters'!$C$47+20)%))^'Financial Analysis'!B10))</f>
        <v>0.25431456631566302</v>
      </c>
      <c r="F23" s="8">
        <f t="shared" si="4"/>
        <v>435058.30394988536</v>
      </c>
    </row>
    <row r="24" spans="2:9">
      <c r="B24" s="10">
        <v>6</v>
      </c>
      <c r="C24" s="8">
        <f t="shared" si="3"/>
        <v>1754568.3821859374</v>
      </c>
      <c r="D24" s="8">
        <f t="shared" si="2"/>
        <v>913105.78585963801</v>
      </c>
      <c r="E24" s="16">
        <f>1/(((1+(('Techno Economic Parameters'!$C$47+20)%))^'Financial Analysis'!B11))</f>
        <v>0.19339510746438254</v>
      </c>
      <c r="F24" s="8">
        <f t="shared" si="4"/>
        <v>339324.94082645717</v>
      </c>
    </row>
    <row r="25" spans="2:9">
      <c r="B25" s="10">
        <v>7</v>
      </c>
      <c r="C25" s="8">
        <f t="shared" si="3"/>
        <v>1802814.4416080469</v>
      </c>
      <c r="D25" s="8">
        <f t="shared" si="2"/>
        <v>841447.36870187649</v>
      </c>
      <c r="E25" s="16">
        <f>1/(((1+(('Techno Economic Parameters'!$C$47+20)%))^'Financial Analysis'!B12))</f>
        <v>0.14706852278660271</v>
      </c>
      <c r="F25" s="8">
        <f t="shared" si="4"/>
        <v>265137.25678564946</v>
      </c>
    </row>
    <row r="27" spans="2:9">
      <c r="C27" s="10" t="s">
        <v>99</v>
      </c>
      <c r="D27" s="8">
        <f>SUM(D19:D26)</f>
        <v>7702670.3754836181</v>
      </c>
      <c r="E27" s="10"/>
      <c r="F27" s="8">
        <f>SUM(F19:F26)</f>
        <v>4436641.9765119823</v>
      </c>
    </row>
    <row r="28" spans="2:9">
      <c r="D28" s="28" t="s">
        <v>157</v>
      </c>
      <c r="E28" s="31">
        <f>('Techno Economic Parameters'!C47+(((('Techno Economic Parameters'!C47+20)-'Techno Economic Parameters'!C47)*(('Financial Analysis'!D27/('Financial Analysis'!D27+'Financial Analysis'!F27))))))</f>
        <v>24.190455854721236</v>
      </c>
      <c r="F28" s="1" t="s">
        <v>158</v>
      </c>
    </row>
    <row r="29" spans="2:9">
      <c r="B29" s="33" t="s">
        <v>160</v>
      </c>
      <c r="C29" s="10"/>
      <c r="D29" s="10"/>
      <c r="E29" s="10"/>
    </row>
    <row r="30" spans="2:9">
      <c r="B30" s="11" t="s">
        <v>139</v>
      </c>
      <c r="C30" s="11" t="s">
        <v>114</v>
      </c>
      <c r="D30" s="11" t="s">
        <v>161</v>
      </c>
      <c r="E30" s="11" t="s">
        <v>162</v>
      </c>
    </row>
    <row r="31" spans="2:9">
      <c r="B31" s="10">
        <v>1</v>
      </c>
      <c r="C31" s="8">
        <f>'Cash flow'!C15</f>
        <v>1902557.5</v>
      </c>
      <c r="D31" s="8">
        <f>SUM(Repayment!D11:D22)+'Expenditure Income '!$C$17</f>
        <v>271125.72000000003</v>
      </c>
      <c r="E31" s="17">
        <f>C31/D31</f>
        <v>7.017251996601428</v>
      </c>
      <c r="F31" s="23" t="s">
        <v>196</v>
      </c>
      <c r="G31" s="23"/>
      <c r="H31" s="23"/>
      <c r="I31" s="23"/>
    </row>
    <row r="32" spans="2:9">
      <c r="B32" s="10">
        <v>2</v>
      </c>
      <c r="C32" s="8">
        <f>'Cash flow'!D15</f>
        <v>1913057.5</v>
      </c>
      <c r="D32" s="8">
        <f>SUM(Repayment!D23:D34)+'Expenditure Income '!$D$17</f>
        <v>491891.99999999994</v>
      </c>
      <c r="E32" s="17">
        <f t="shared" ref="E32:E37" si="5">C32/D32</f>
        <v>3.8891819749050609</v>
      </c>
      <c r="F32" s="28" t="s">
        <v>152</v>
      </c>
      <c r="G32" s="28" t="s">
        <v>197</v>
      </c>
      <c r="H32" s="24"/>
      <c r="I32" s="24"/>
    </row>
    <row r="33" spans="2:9">
      <c r="B33" s="10">
        <v>3</v>
      </c>
      <c r="C33" s="8">
        <f>'Cash flow'!E15</f>
        <v>1913057.5000000002</v>
      </c>
      <c r="D33" s="8">
        <f>SUM(Repayment!D35:D46)+'Expenditure Income '!$E$17</f>
        <v>491892</v>
      </c>
      <c r="E33" s="17">
        <f t="shared" si="5"/>
        <v>3.8891819749050609</v>
      </c>
      <c r="F33" s="28" t="s">
        <v>16</v>
      </c>
      <c r="G33" s="28" t="s">
        <v>198</v>
      </c>
      <c r="H33" s="24"/>
      <c r="I33" s="24"/>
    </row>
    <row r="34" spans="2:9">
      <c r="B34" s="10">
        <v>4</v>
      </c>
      <c r="C34" s="8">
        <f>'Cash flow'!F15</f>
        <v>1913057.5</v>
      </c>
      <c r="D34" s="8">
        <f>SUM(Repayment!D47:D58)+'Expenditure Income '!$F$17</f>
        <v>491892</v>
      </c>
      <c r="E34" s="17">
        <f t="shared" si="5"/>
        <v>3.8891819749050605</v>
      </c>
      <c r="F34" s="28" t="s">
        <v>157</v>
      </c>
      <c r="G34" s="28" t="s">
        <v>199</v>
      </c>
      <c r="H34" s="24"/>
      <c r="I34" s="24"/>
    </row>
    <row r="35" spans="2:9">
      <c r="B35" s="10">
        <v>5</v>
      </c>
      <c r="C35" s="8">
        <f>'Cash flow'!G15</f>
        <v>1913057.5</v>
      </c>
      <c r="D35" s="8">
        <f>SUM(Repayment!D59:D70)+'Expenditure Income '!$G$17</f>
        <v>491891.99999999988</v>
      </c>
      <c r="E35" s="17">
        <f t="shared" si="5"/>
        <v>3.8891819749050613</v>
      </c>
      <c r="F35" s="28" t="s">
        <v>14</v>
      </c>
      <c r="G35" s="28" t="s">
        <v>200</v>
      </c>
      <c r="H35" s="24"/>
      <c r="I35" s="24"/>
    </row>
    <row r="36" spans="2:9">
      <c r="B36" s="10">
        <v>6</v>
      </c>
      <c r="C36" s="8">
        <f>'Cash flow'!H15</f>
        <v>1913057.5</v>
      </c>
      <c r="D36" s="8">
        <f>SUM(Repayment!D71:D82)+'Expenditure Income '!$H$17</f>
        <v>491892</v>
      </c>
      <c r="E36" s="17">
        <f t="shared" si="5"/>
        <v>3.8891819749050605</v>
      </c>
    </row>
    <row r="37" spans="2:9">
      <c r="B37" s="10">
        <v>7</v>
      </c>
      <c r="C37" s="8">
        <f>'Cash flow'!I15</f>
        <v>1913057.5</v>
      </c>
      <c r="D37" s="8">
        <f>SUM(Repayment!D83:D94)+'Expenditure Income '!$I$17</f>
        <v>954417.88</v>
      </c>
      <c r="E37" s="17">
        <f t="shared" si="5"/>
        <v>2.0044233664189108</v>
      </c>
    </row>
    <row r="38" spans="2:9" s="1" customFormat="1">
      <c r="B38" s="11"/>
      <c r="C38" s="11"/>
      <c r="D38" s="32" t="s">
        <v>163</v>
      </c>
      <c r="E38" s="30">
        <f>SUM(E31:E37)/'Techno Economic Parameters'!C48</f>
        <v>4.0667978910779485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Front page</vt:lpstr>
      <vt:lpstr>Project at a glance</vt:lpstr>
      <vt:lpstr>Techno Economic Parameters</vt:lpstr>
      <vt:lpstr>Investment</vt:lpstr>
      <vt:lpstr>Production Chart</vt:lpstr>
      <vt:lpstr>Expenditure Income </vt:lpstr>
      <vt:lpstr>Cash flow</vt:lpstr>
      <vt:lpstr>Repayment</vt:lpstr>
      <vt:lpstr>Depreciation</vt:lpstr>
      <vt:lpstr>Financial Analysis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2026-06-05T06:48:21Z</dcterms:created>
  <dcterms:modified xsi:type="dcterms:W3CDTF">2026-06-09T06:45:45Z</dcterms:modified>
</cp:coreProperties>
</file>