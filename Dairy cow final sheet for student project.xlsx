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22980" windowHeight="9528"/>
  </bookViews>
  <sheets>
    <sheet name="Front page" sheetId="1" r:id="rId1"/>
    <sheet name="Project at a glance" sheetId="2" r:id="rId2"/>
    <sheet name="Techno Economic Parameters" sheetId="3" r:id="rId3"/>
    <sheet name="Investment" sheetId="4" r:id="rId4"/>
    <sheet name="Production Chart" sheetId="5" r:id="rId5"/>
    <sheet name="Expenditure Income " sheetId="6" r:id="rId6"/>
    <sheet name="Cash flow" sheetId="7" r:id="rId7"/>
    <sheet name="Repayment" sheetId="8" r:id="rId8"/>
    <sheet name="Depreciation" sheetId="9" r:id="rId9"/>
    <sheet name="Financial Analysis" sheetId="10" r:id="rId10"/>
  </sheets>
  <calcPr calcId="125725"/>
</workbook>
</file>

<file path=xl/calcChain.xml><?xml version="1.0" encoding="utf-8"?>
<calcChain xmlns="http://schemas.openxmlformats.org/spreadsheetml/2006/main">
  <c r="C27" i="2"/>
  <c r="C26"/>
  <c r="E20" i="10"/>
  <c r="E21"/>
  <c r="E22"/>
  <c r="E23"/>
  <c r="E24"/>
  <c r="E25"/>
  <c r="E19"/>
  <c r="E7"/>
  <c r="E8"/>
  <c r="E9"/>
  <c r="E10"/>
  <c r="E11"/>
  <c r="E12"/>
  <c r="E6"/>
  <c r="D6" i="8" l="1"/>
  <c r="D5"/>
  <c r="B11"/>
  <c r="D33" i="6"/>
  <c r="E33"/>
  <c r="F33"/>
  <c r="G33"/>
  <c r="H33"/>
  <c r="I33"/>
  <c r="D32"/>
  <c r="E32"/>
  <c r="F32"/>
  <c r="G32"/>
  <c r="H32"/>
  <c r="I32"/>
  <c r="D31"/>
  <c r="E31"/>
  <c r="F31"/>
  <c r="G31"/>
  <c r="H31"/>
  <c r="I31"/>
  <c r="C33"/>
  <c r="C32"/>
  <c r="C31"/>
  <c r="D30"/>
  <c r="E30"/>
  <c r="F30"/>
  <c r="G30"/>
  <c r="H30"/>
  <c r="I30"/>
  <c r="C30"/>
  <c r="D29"/>
  <c r="E29"/>
  <c r="F29"/>
  <c r="G29"/>
  <c r="H29"/>
  <c r="I29"/>
  <c r="C29"/>
  <c r="D28"/>
  <c r="E28"/>
  <c r="F28"/>
  <c r="G28"/>
  <c r="H28"/>
  <c r="I28"/>
  <c r="C28"/>
  <c r="D19"/>
  <c r="E19"/>
  <c r="F19"/>
  <c r="G19"/>
  <c r="H19"/>
  <c r="I19"/>
  <c r="D18"/>
  <c r="E18"/>
  <c r="F18"/>
  <c r="G18"/>
  <c r="H18"/>
  <c r="I18"/>
  <c r="D17"/>
  <c r="E17"/>
  <c r="F17"/>
  <c r="G17"/>
  <c r="H17"/>
  <c r="I17"/>
  <c r="D16"/>
  <c r="E16"/>
  <c r="F16"/>
  <c r="G16"/>
  <c r="H16"/>
  <c r="I16"/>
  <c r="C19"/>
  <c r="C18"/>
  <c r="C17"/>
  <c r="C16"/>
  <c r="D15"/>
  <c r="E15"/>
  <c r="F15"/>
  <c r="G15"/>
  <c r="H15"/>
  <c r="I15"/>
  <c r="C15"/>
  <c r="D14"/>
  <c r="E14"/>
  <c r="F14"/>
  <c r="G14"/>
  <c r="H14"/>
  <c r="I14"/>
  <c r="C14"/>
  <c r="D13"/>
  <c r="E13"/>
  <c r="F13"/>
  <c r="G13"/>
  <c r="H13"/>
  <c r="I13"/>
  <c r="C13"/>
  <c r="D12"/>
  <c r="E12"/>
  <c r="F12"/>
  <c r="G12"/>
  <c r="H12"/>
  <c r="I12"/>
  <c r="C12"/>
  <c r="D11"/>
  <c r="E11"/>
  <c r="F11"/>
  <c r="G11"/>
  <c r="H11"/>
  <c r="I11"/>
  <c r="C11"/>
  <c r="C41" i="4"/>
  <c r="E10" i="6"/>
  <c r="F10"/>
  <c r="G10"/>
  <c r="H10"/>
  <c r="I10"/>
  <c r="D10"/>
  <c r="D9"/>
  <c r="E9"/>
  <c r="F9"/>
  <c r="G9"/>
  <c r="H9"/>
  <c r="I9"/>
  <c r="C9"/>
  <c r="E8"/>
  <c r="F8"/>
  <c r="G8"/>
  <c r="H8"/>
  <c r="I8"/>
  <c r="D8"/>
  <c r="D6"/>
  <c r="E6"/>
  <c r="F6"/>
  <c r="G6"/>
  <c r="H6"/>
  <c r="I6"/>
  <c r="C6"/>
  <c r="C10"/>
  <c r="C8"/>
  <c r="C7"/>
  <c r="E10" i="5"/>
  <c r="E8"/>
  <c r="F8"/>
  <c r="F10" s="1"/>
  <c r="G8"/>
  <c r="H8"/>
  <c r="I8"/>
  <c r="D8"/>
  <c r="D10" s="1"/>
  <c r="D7"/>
  <c r="E7"/>
  <c r="F7"/>
  <c r="G7"/>
  <c r="G10" s="1"/>
  <c r="H7"/>
  <c r="H10" s="1"/>
  <c r="I7"/>
  <c r="I10" s="1"/>
  <c r="C7"/>
  <c r="C8"/>
  <c r="C10" s="1"/>
  <c r="C27" i="6" s="1"/>
  <c r="C49" i="4"/>
  <c r="C48"/>
  <c r="C47"/>
  <c r="C46"/>
  <c r="C45"/>
  <c r="C44"/>
  <c r="C43"/>
  <c r="C42"/>
  <c r="C40"/>
  <c r="C39"/>
  <c r="C38"/>
  <c r="C37"/>
  <c r="C7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6"/>
  <c r="C36" s="1"/>
  <c r="C51" s="1"/>
  <c r="C18" i="2" s="1"/>
  <c r="E4" i="9" l="1"/>
  <c r="F4" s="1"/>
  <c r="C22" i="6" s="1"/>
  <c r="C35"/>
  <c r="C6" i="7" s="1"/>
  <c r="D6" i="10" s="1"/>
  <c r="B4" i="9"/>
  <c r="D27" i="6"/>
  <c r="E27"/>
  <c r="E35" s="1"/>
  <c r="H27"/>
  <c r="G27"/>
  <c r="G35" s="1"/>
  <c r="G6" i="7" s="1"/>
  <c r="D10" i="10" s="1"/>
  <c r="F27" i="6"/>
  <c r="I27"/>
  <c r="I35" s="1"/>
  <c r="H35"/>
  <c r="H6" i="7" s="1"/>
  <c r="D35" i="6"/>
  <c r="D6" i="7" s="1"/>
  <c r="D7" i="10" s="1"/>
  <c r="B12" i="8"/>
  <c r="E6"/>
  <c r="E5"/>
  <c r="F35" i="6"/>
  <c r="C33" i="4"/>
  <c r="G6" i="10" l="1"/>
  <c r="G7"/>
  <c r="G10"/>
  <c r="C52" i="4"/>
  <c r="C19" i="2" s="1"/>
  <c r="C17"/>
  <c r="C4" i="9"/>
  <c r="C21" i="6" s="1"/>
  <c r="C11" i="7" s="1"/>
  <c r="G4" i="9"/>
  <c r="E5" s="1"/>
  <c r="C58" i="4"/>
  <c r="C23" i="2" s="1"/>
  <c r="C56" i="4"/>
  <c r="I6" i="7"/>
  <c r="D12" i="10" s="1"/>
  <c r="E6" i="7"/>
  <c r="D8" i="10" s="1"/>
  <c r="F6" i="7"/>
  <c r="D9" i="10" s="1"/>
  <c r="B13" i="8"/>
  <c r="G8" i="10" l="1"/>
  <c r="C55" i="4"/>
  <c r="C21" i="2" s="1"/>
  <c r="C22"/>
  <c r="G9" i="10"/>
  <c r="G12"/>
  <c r="D4" i="9"/>
  <c r="B5" s="1"/>
  <c r="F5"/>
  <c r="D22" i="6" s="1"/>
  <c r="C57" i="4"/>
  <c r="D4" i="8"/>
  <c r="B14"/>
  <c r="D5" i="9" l="1"/>
  <c r="B6" s="1"/>
  <c r="C6" s="1"/>
  <c r="C5"/>
  <c r="D21" i="6" s="1"/>
  <c r="D11" i="7" s="1"/>
  <c r="G5" i="9"/>
  <c r="E6" s="1"/>
  <c r="F10" i="8"/>
  <c r="D7"/>
  <c r="D8"/>
  <c r="B15"/>
  <c r="E21" i="6" l="1"/>
  <c r="D6" i="9"/>
  <c r="B7" s="1"/>
  <c r="F6"/>
  <c r="E22" i="6" s="1"/>
  <c r="E11" i="7" s="1"/>
  <c r="F11" i="8"/>
  <c r="E11"/>
  <c r="B16"/>
  <c r="C7" i="9" l="1"/>
  <c r="F21" i="6" s="1"/>
  <c r="C11" i="8"/>
  <c r="G6" i="9"/>
  <c r="E7" s="1"/>
  <c r="F12" i="8"/>
  <c r="E12"/>
  <c r="C12" s="1"/>
  <c r="B17"/>
  <c r="D7" i="9" l="1"/>
  <c r="B8" s="1"/>
  <c r="F7"/>
  <c r="F22" i="6" s="1"/>
  <c r="F11" i="7" s="1"/>
  <c r="F13" i="8"/>
  <c r="E13"/>
  <c r="C13" s="1"/>
  <c r="B18"/>
  <c r="D8" i="9" l="1"/>
  <c r="B9" s="1"/>
  <c r="C9" s="1"/>
  <c r="H21" i="6" s="1"/>
  <c r="C8" i="9"/>
  <c r="G21" i="6" s="1"/>
  <c r="G7" i="9"/>
  <c r="E8" s="1"/>
  <c r="E14" i="8"/>
  <c r="C14"/>
  <c r="D14" s="1"/>
  <c r="B19"/>
  <c r="F14" l="1"/>
  <c r="E15" s="1"/>
  <c r="D9" i="9"/>
  <c r="B10" s="1"/>
  <c r="C10" s="1"/>
  <c r="I21" i="6" s="1"/>
  <c r="F8" i="9"/>
  <c r="G22" i="6" s="1"/>
  <c r="G11" i="7" s="1"/>
  <c r="B20" i="8"/>
  <c r="C15" l="1"/>
  <c r="D15" s="1"/>
  <c r="D10" i="9"/>
  <c r="G8"/>
  <c r="E9" s="1"/>
  <c r="B21" i="8"/>
  <c r="F15" l="1"/>
  <c r="F9" i="9"/>
  <c r="H22" i="6" s="1"/>
  <c r="H11" i="7" s="1"/>
  <c r="B22" i="8"/>
  <c r="C16" l="1"/>
  <c r="D16" s="1"/>
  <c r="E16"/>
  <c r="G9" i="9"/>
  <c r="E10" s="1"/>
  <c r="B23" i="8"/>
  <c r="F16" l="1"/>
  <c r="F10" i="9"/>
  <c r="I22" i="6" s="1"/>
  <c r="I11" i="7" s="1"/>
  <c r="B24" i="8"/>
  <c r="C17" l="1"/>
  <c r="D17" s="1"/>
  <c r="E17"/>
  <c r="G10" i="9"/>
  <c r="B25" i="8"/>
  <c r="F17" l="1"/>
  <c r="B26"/>
  <c r="E18" l="1"/>
  <c r="C18"/>
  <c r="B27"/>
  <c r="D18" l="1"/>
  <c r="B28"/>
  <c r="F18" l="1"/>
  <c r="B29"/>
  <c r="C19" l="1"/>
  <c r="D19" s="1"/>
  <c r="F19" s="1"/>
  <c r="E19"/>
  <c r="B30"/>
  <c r="E20" l="1"/>
  <c r="C20"/>
  <c r="B31"/>
  <c r="D20" l="1"/>
  <c r="F20" s="1"/>
  <c r="B32"/>
  <c r="E21" l="1"/>
  <c r="C21"/>
  <c r="D21" s="1"/>
  <c r="F21" s="1"/>
  <c r="B33"/>
  <c r="C22" l="1"/>
  <c r="D22" s="1"/>
  <c r="E22"/>
  <c r="C20" i="6" s="1"/>
  <c r="B34" i="8"/>
  <c r="F22" l="1"/>
  <c r="D31" i="10"/>
  <c r="C24" i="6"/>
  <c r="C10" i="7"/>
  <c r="C12" s="1"/>
  <c r="B35" i="8"/>
  <c r="E23" l="1"/>
  <c r="C23"/>
  <c r="D23" s="1"/>
  <c r="C5" i="7"/>
  <c r="C37" i="6"/>
  <c r="B36" i="8"/>
  <c r="C14" i="7" l="1"/>
  <c r="C6" i="10"/>
  <c r="C15" i="7"/>
  <c r="C31" i="10" s="1"/>
  <c r="E31" s="1"/>
  <c r="C7" i="7"/>
  <c r="F23" i="8"/>
  <c r="B37"/>
  <c r="F6" i="10" l="1"/>
  <c r="C19"/>
  <c r="E24" i="8"/>
  <c r="C24"/>
  <c r="D24" s="1"/>
  <c r="B38"/>
  <c r="F19" i="10" l="1"/>
  <c r="D19"/>
  <c r="F24" i="8"/>
  <c r="B39"/>
  <c r="C25" l="1"/>
  <c r="D25" s="1"/>
  <c r="E25"/>
  <c r="B40"/>
  <c r="F25" l="1"/>
  <c r="B41"/>
  <c r="E26" l="1"/>
  <c r="C26"/>
  <c r="D26" s="1"/>
  <c r="B42"/>
  <c r="F26" l="1"/>
  <c r="B43"/>
  <c r="E27" l="1"/>
  <c r="C27"/>
  <c r="D27" s="1"/>
  <c r="B44"/>
  <c r="F27" l="1"/>
  <c r="B45"/>
  <c r="C28" l="1"/>
  <c r="D28" s="1"/>
  <c r="F28" s="1"/>
  <c r="E28"/>
  <c r="B46"/>
  <c r="C29" l="1"/>
  <c r="D29" s="1"/>
  <c r="F29" s="1"/>
  <c r="E29"/>
  <c r="B47"/>
  <c r="E30" l="1"/>
  <c r="C30"/>
  <c r="D30" s="1"/>
  <c r="F30" s="1"/>
  <c r="B48"/>
  <c r="E31" l="1"/>
  <c r="C31"/>
  <c r="B49"/>
  <c r="D31" l="1"/>
  <c r="F31" s="1"/>
  <c r="B50"/>
  <c r="E32" l="1"/>
  <c r="C32"/>
  <c r="D32" s="1"/>
  <c r="F32" s="1"/>
  <c r="B51"/>
  <c r="C33" l="1"/>
  <c r="D33" s="1"/>
  <c r="F33" s="1"/>
  <c r="E33"/>
  <c r="B52"/>
  <c r="E34" l="1"/>
  <c r="D20" i="6" s="1"/>
  <c r="C34" i="8"/>
  <c r="D34" s="1"/>
  <c r="B53"/>
  <c r="F34" l="1"/>
  <c r="D32" i="10"/>
  <c r="D24" i="6"/>
  <c r="D10" i="7"/>
  <c r="D12" s="1"/>
  <c r="B54" i="8"/>
  <c r="C35" l="1"/>
  <c r="D35" s="1"/>
  <c r="E35"/>
  <c r="D37" i="6"/>
  <c r="D5" i="7"/>
  <c r="B55" i="8"/>
  <c r="F35" l="1"/>
  <c r="D14" i="7"/>
  <c r="C7" i="10"/>
  <c r="D7" i="7"/>
  <c r="D15"/>
  <c r="C32" i="10" s="1"/>
  <c r="E32" s="1"/>
  <c r="B56" i="8"/>
  <c r="C36" l="1"/>
  <c r="D36" s="1"/>
  <c r="E36"/>
  <c r="F7" i="10"/>
  <c r="C20"/>
  <c r="B57" i="8"/>
  <c r="F20" i="10" l="1"/>
  <c r="D20"/>
  <c r="F36" i="8"/>
  <c r="B58"/>
  <c r="E37" l="1"/>
  <c r="C37"/>
  <c r="D37" s="1"/>
  <c r="B59"/>
  <c r="F37" l="1"/>
  <c r="B60"/>
  <c r="E38" l="1"/>
  <c r="C38"/>
  <c r="D38" s="1"/>
  <c r="B61"/>
  <c r="F38" l="1"/>
  <c r="B62"/>
  <c r="C39" l="1"/>
  <c r="D39" s="1"/>
  <c r="E39"/>
  <c r="B63"/>
  <c r="F39" l="1"/>
  <c r="B64"/>
  <c r="C40" l="1"/>
  <c r="D40" s="1"/>
  <c r="F40" s="1"/>
  <c r="E40"/>
  <c r="B65"/>
  <c r="C41" l="1"/>
  <c r="D41" s="1"/>
  <c r="F41" s="1"/>
  <c r="E41"/>
  <c r="B66"/>
  <c r="C42" l="1"/>
  <c r="E42"/>
  <c r="B67"/>
  <c r="D42" l="1"/>
  <c r="F42" s="1"/>
  <c r="B68"/>
  <c r="C43" l="1"/>
  <c r="D43" s="1"/>
  <c r="F43" s="1"/>
  <c r="E43"/>
  <c r="B69"/>
  <c r="E44" l="1"/>
  <c r="C44"/>
  <c r="D44" s="1"/>
  <c r="F44" s="1"/>
  <c r="B70"/>
  <c r="C45" l="1"/>
  <c r="D45" s="1"/>
  <c r="F45" s="1"/>
  <c r="E45"/>
  <c r="B71"/>
  <c r="C46" l="1"/>
  <c r="D46" s="1"/>
  <c r="E46"/>
  <c r="E20" i="6" s="1"/>
  <c r="B72" i="8"/>
  <c r="F46" l="1"/>
  <c r="D33" i="10"/>
  <c r="E24" i="6"/>
  <c r="E10" i="7"/>
  <c r="E12" s="1"/>
  <c r="B73" i="8"/>
  <c r="E37" i="6" l="1"/>
  <c r="E5" i="7"/>
  <c r="C47" i="8"/>
  <c r="D47" s="1"/>
  <c r="E47"/>
  <c r="B74"/>
  <c r="E14" i="7" l="1"/>
  <c r="C8" i="10"/>
  <c r="E15" i="7"/>
  <c r="C33" i="10" s="1"/>
  <c r="E33" s="1"/>
  <c r="E7" i="7"/>
  <c r="F47" i="8"/>
  <c r="B75"/>
  <c r="E48" l="1"/>
  <c r="C48"/>
  <c r="D48" s="1"/>
  <c r="F8" i="10"/>
  <c r="C21"/>
  <c r="B76" i="8"/>
  <c r="F48" l="1"/>
  <c r="F21" i="10"/>
  <c r="D21"/>
  <c r="B77" i="8"/>
  <c r="E49" l="1"/>
  <c r="C49"/>
  <c r="D49" s="1"/>
  <c r="B78"/>
  <c r="F49" l="1"/>
  <c r="B79"/>
  <c r="C50" l="1"/>
  <c r="D50" s="1"/>
  <c r="E50"/>
  <c r="B80"/>
  <c r="F50" l="1"/>
  <c r="B81"/>
  <c r="E51" l="1"/>
  <c r="C51"/>
  <c r="D51" s="1"/>
  <c r="B82"/>
  <c r="F51" l="1"/>
  <c r="B83"/>
  <c r="E52" l="1"/>
  <c r="C52"/>
  <c r="D52" s="1"/>
  <c r="F52" s="1"/>
  <c r="B84"/>
  <c r="C53" l="1"/>
  <c r="D53" s="1"/>
  <c r="F53" s="1"/>
  <c r="E53"/>
  <c r="B85"/>
  <c r="C54" l="1"/>
  <c r="D54" s="1"/>
  <c r="F54" s="1"/>
  <c r="E54"/>
  <c r="B86"/>
  <c r="C55" l="1"/>
  <c r="D55" s="1"/>
  <c r="F55" s="1"/>
  <c r="E55"/>
  <c r="B87"/>
  <c r="E56" l="1"/>
  <c r="C56"/>
  <c r="B88"/>
  <c r="D56" l="1"/>
  <c r="F56" s="1"/>
  <c r="B89"/>
  <c r="C57" l="1"/>
  <c r="D57" s="1"/>
  <c r="F57" s="1"/>
  <c r="E57"/>
  <c r="B90"/>
  <c r="E58" l="1"/>
  <c r="F20" i="6" s="1"/>
  <c r="C58" i="8"/>
  <c r="D58" s="1"/>
  <c r="B91"/>
  <c r="F24" i="6" l="1"/>
  <c r="F10" i="7"/>
  <c r="F12" s="1"/>
  <c r="F58" i="8"/>
  <c r="D34" i="10"/>
  <c r="B92" i="8"/>
  <c r="F37" i="6" l="1"/>
  <c r="F5" i="7"/>
  <c r="C59" i="8"/>
  <c r="D59" s="1"/>
  <c r="E59"/>
  <c r="B93"/>
  <c r="F59" l="1"/>
  <c r="F14" i="7"/>
  <c r="C9" i="10"/>
  <c r="F7" i="7"/>
  <c r="F15"/>
  <c r="C34" i="10" s="1"/>
  <c r="E34" s="1"/>
  <c r="B94" i="8"/>
  <c r="C60" l="1"/>
  <c r="D60" s="1"/>
  <c r="E60"/>
  <c r="F9" i="10"/>
  <c r="C22"/>
  <c r="F60" i="8" l="1"/>
  <c r="D22" i="10"/>
  <c r="F22"/>
  <c r="E61" i="8" l="1"/>
  <c r="C61"/>
  <c r="D61" s="1"/>
  <c r="F61" l="1"/>
  <c r="C62" l="1"/>
  <c r="D62" s="1"/>
  <c r="E62"/>
  <c r="F62" l="1"/>
  <c r="E63" l="1"/>
  <c r="C63"/>
  <c r="D63" s="1"/>
  <c r="F63" l="1"/>
  <c r="E64" l="1"/>
  <c r="C64"/>
  <c r="D64" l="1"/>
  <c r="F64" s="1"/>
  <c r="C65" l="1"/>
  <c r="D65" s="1"/>
  <c r="F65" s="1"/>
  <c r="E65"/>
  <c r="E66" l="1"/>
  <c r="C66"/>
  <c r="D66" s="1"/>
  <c r="F66" s="1"/>
  <c r="C67" l="1"/>
  <c r="D67" s="1"/>
  <c r="F67" s="1"/>
  <c r="E67"/>
  <c r="E68" l="1"/>
  <c r="C68"/>
  <c r="D68" s="1"/>
  <c r="F68" s="1"/>
  <c r="C69" l="1"/>
  <c r="E69"/>
  <c r="D69" l="1"/>
  <c r="F69" s="1"/>
  <c r="C70" l="1"/>
  <c r="D70" s="1"/>
  <c r="E70"/>
  <c r="G20" i="6" s="1"/>
  <c r="F70" i="8" l="1"/>
  <c r="D35" i="10"/>
  <c r="G24" i="6"/>
  <c r="G10" i="7"/>
  <c r="G12" s="1"/>
  <c r="G5" l="1"/>
  <c r="G37" i="6"/>
  <c r="E71" i="8"/>
  <c r="C71"/>
  <c r="D71" s="1"/>
  <c r="G14" i="7" l="1"/>
  <c r="C10" i="10"/>
  <c r="G15" i="7"/>
  <c r="C35" i="10" s="1"/>
  <c r="E35" s="1"/>
  <c r="G7" i="7"/>
  <c r="F71" i="8"/>
  <c r="E72" l="1"/>
  <c r="C72"/>
  <c r="D72" s="1"/>
  <c r="F10" i="10"/>
  <c r="C23"/>
  <c r="F72" i="8" l="1"/>
  <c r="F23" i="10"/>
  <c r="D23"/>
  <c r="E73" i="8" l="1"/>
  <c r="C73"/>
  <c r="D73" s="1"/>
  <c r="F73" l="1"/>
  <c r="C74" l="1"/>
  <c r="E74"/>
  <c r="D74" l="1"/>
  <c r="F74" l="1"/>
  <c r="C75" l="1"/>
  <c r="E75"/>
  <c r="D75" l="1"/>
  <c r="F75" l="1"/>
  <c r="E76" l="1"/>
  <c r="C76"/>
  <c r="D76" l="1"/>
  <c r="F76" s="1"/>
  <c r="E77" l="1"/>
  <c r="C77"/>
  <c r="D77" s="1"/>
  <c r="F77" s="1"/>
  <c r="C78" l="1"/>
  <c r="D78" s="1"/>
  <c r="F78" s="1"/>
  <c r="E78"/>
  <c r="C79" l="1"/>
  <c r="E79"/>
  <c r="D79" l="1"/>
  <c r="F79" s="1"/>
  <c r="E80" l="1"/>
  <c r="C80"/>
  <c r="D80" l="1"/>
  <c r="F80" s="1"/>
  <c r="C81" l="1"/>
  <c r="E81"/>
  <c r="D81" l="1"/>
  <c r="F81" s="1"/>
  <c r="E82" l="1"/>
  <c r="H20" i="6" s="1"/>
  <c r="C82" i="8"/>
  <c r="H10" i="7" l="1"/>
  <c r="H12" s="1"/>
  <c r="H24" i="6"/>
  <c r="D82" i="8"/>
  <c r="H37" i="6" l="1"/>
  <c r="H5" i="7"/>
  <c r="F82" i="8"/>
  <c r="D36" i="10"/>
  <c r="H14" i="7" l="1"/>
  <c r="C11" i="10"/>
  <c r="F11" s="1"/>
  <c r="H7" i="7"/>
  <c r="D11" i="10" s="1"/>
  <c r="H15" i="7"/>
  <c r="C36" i="10" s="1"/>
  <c r="E36" s="1"/>
  <c r="C83" i="8"/>
  <c r="E83"/>
  <c r="D83" l="1"/>
  <c r="G11" i="10"/>
  <c r="G14" s="1"/>
  <c r="C24"/>
  <c r="F83" i="8" l="1"/>
  <c r="F24" i="10"/>
  <c r="D24"/>
  <c r="E84" i="8" l="1"/>
  <c r="C84"/>
  <c r="D84" s="1"/>
  <c r="F84" l="1"/>
  <c r="E85" l="1"/>
  <c r="C85"/>
  <c r="D85" l="1"/>
  <c r="F85" l="1"/>
  <c r="C86" l="1"/>
  <c r="E86"/>
  <c r="D86" l="1"/>
  <c r="F86" l="1"/>
  <c r="C87" l="1"/>
  <c r="D87" s="1"/>
  <c r="E87"/>
  <c r="F87" l="1"/>
  <c r="E88" l="1"/>
  <c r="C88"/>
  <c r="D88" s="1"/>
  <c r="F88" s="1"/>
  <c r="E89" l="1"/>
  <c r="C89"/>
  <c r="D89" s="1"/>
  <c r="F89" s="1"/>
  <c r="C90" l="1"/>
  <c r="E90"/>
  <c r="D90" l="1"/>
  <c r="F90" s="1"/>
  <c r="E91" l="1"/>
  <c r="C91"/>
  <c r="D91" l="1"/>
  <c r="F91" s="1"/>
  <c r="E92" l="1"/>
  <c r="C92"/>
  <c r="D92" l="1"/>
  <c r="F92" s="1"/>
  <c r="E93" l="1"/>
  <c r="C93"/>
  <c r="D93" s="1"/>
  <c r="F93" s="1"/>
  <c r="E94" l="1"/>
  <c r="I20" i="6" s="1"/>
  <c r="C94" i="8"/>
  <c r="D94" s="1"/>
  <c r="I10" i="7" l="1"/>
  <c r="I12" s="1"/>
  <c r="I24" i="6"/>
  <c r="F94" i="8"/>
  <c r="D37" i="10"/>
  <c r="I37" i="6" l="1"/>
  <c r="I5" i="7"/>
  <c r="I14" l="1"/>
  <c r="C12" i="10"/>
  <c r="I7" i="7"/>
  <c r="I15"/>
  <c r="C37" i="10" s="1"/>
  <c r="E37" s="1"/>
  <c r="E38" s="1"/>
  <c r="C32" i="2" s="1"/>
  <c r="F12" i="10" l="1"/>
  <c r="F14" s="1"/>
  <c r="C25"/>
  <c r="F16" l="1"/>
  <c r="C30" i="2" s="1"/>
  <c r="F15" i="10"/>
  <c r="C29" i="2" s="1"/>
  <c r="F25" i="10"/>
  <c r="F27" s="1"/>
  <c r="D25"/>
  <c r="D27" s="1"/>
  <c r="E28" l="1"/>
  <c r="C31" i="2" s="1"/>
</calcChain>
</file>

<file path=xl/comments1.xml><?xml version="1.0" encoding="utf-8"?>
<comments xmlns="http://schemas.openxmlformats.org/spreadsheetml/2006/main">
  <authors>
    <author>vcri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vcri: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vcri: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vcri: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<sst xmlns="http://schemas.openxmlformats.org/spreadsheetml/2006/main" count="331" uniqueCount="282">
  <si>
    <t>PROJECT REPORT ON DAIRY FARMING</t>
  </si>
  <si>
    <t>PROJECT AT A GLANCE</t>
  </si>
  <si>
    <t>Name of the Farmer/Unit</t>
  </si>
  <si>
    <t>Address of the Farmer</t>
  </si>
  <si>
    <t>Mobile Number</t>
  </si>
  <si>
    <t>Nature of the Farming / Activity</t>
  </si>
  <si>
    <t>Address location of the Farm</t>
  </si>
  <si>
    <t>Aadhar Number (Optional)</t>
  </si>
  <si>
    <t>E mail Id  (Optional)</t>
  </si>
  <si>
    <t>PROJECT COST</t>
  </si>
  <si>
    <t>MEANS OF FINANCE</t>
  </si>
  <si>
    <t>Bank Loan (in Rs.)</t>
  </si>
  <si>
    <t>Margin Money (in Rs.)</t>
  </si>
  <si>
    <t>Project evaluation Values</t>
  </si>
  <si>
    <t>DSCR</t>
  </si>
  <si>
    <t>NPV</t>
  </si>
  <si>
    <t>BCR</t>
  </si>
  <si>
    <t>IRR (in per cent)</t>
  </si>
  <si>
    <t>Employment opportunities(in No. of labour)</t>
  </si>
  <si>
    <t>Number of animals</t>
  </si>
  <si>
    <t>Total (in Rs.)</t>
  </si>
  <si>
    <t>Subsidy (in Rs.)</t>
  </si>
  <si>
    <t>Name of the Financing Bank</t>
  </si>
  <si>
    <t xml:space="preserve">Name of the Branch </t>
  </si>
  <si>
    <t>Rate of Interest (in percent / annum)</t>
  </si>
  <si>
    <t>Repayment Period (in years)</t>
  </si>
  <si>
    <t>Name of Subsidy Programme</t>
  </si>
  <si>
    <t>Capital and Machineary Investment (in Rs.)</t>
  </si>
  <si>
    <t>Working Capital (in Rs.)</t>
  </si>
  <si>
    <t>Total Cost of the Project (in Rs.)</t>
  </si>
  <si>
    <t>TECHNO ECONOMIC PARAMETERS</t>
  </si>
  <si>
    <t>Buffalo</t>
  </si>
  <si>
    <t>Name of the Breed</t>
  </si>
  <si>
    <t>Jersey Cross</t>
  </si>
  <si>
    <t>HF Cross</t>
  </si>
  <si>
    <t>Indigenous</t>
  </si>
  <si>
    <t>Unit Size (No. of Animals)</t>
  </si>
  <si>
    <t>I Batch</t>
  </si>
  <si>
    <t>II Batch</t>
  </si>
  <si>
    <t>Purchase cost of Animals (Rs./Animal)</t>
  </si>
  <si>
    <t>Transport Charges (Rs./Animal)</t>
  </si>
  <si>
    <t>Average Milk Yield (Litres/day)</t>
  </si>
  <si>
    <t>Type of Milch Animal</t>
  </si>
  <si>
    <t>SHED/BUILDING</t>
  </si>
  <si>
    <t>ANIMAL</t>
  </si>
  <si>
    <t>Cost of Construction for Animal Shed (Rs./Sq.ft)</t>
  </si>
  <si>
    <t>Cost of Construction for Calves Shed (Rs./Sq.ft)</t>
  </si>
  <si>
    <t>Floor Space Requirement for Store Room (in Sq.ft)</t>
  </si>
  <si>
    <t>Cost of Construction for Store Room (Rs./Sq.ft)</t>
  </si>
  <si>
    <t>Cost of Construction for Labour Quarters (Rs./Sq.ft)</t>
  </si>
  <si>
    <t>Floor Space Requirement for Labour Quarters (in Sq.ft)</t>
  </si>
  <si>
    <t>Floor Space Requirement for Milch Animal (Sq.ft/Animal)</t>
  </si>
  <si>
    <t>Floor Space Requirement for Calves (Sq.ft/Calf)</t>
  </si>
  <si>
    <t>Floor Space Requirement for Feed Mill (in Sq.ft)</t>
  </si>
  <si>
    <t>Cost of Construction for Feed Mill (Rs./Sq.ft)</t>
  </si>
  <si>
    <t>Floor Space Requirement for Milk Processing Unit (in Sq.ft)</t>
  </si>
  <si>
    <t>Cost of Construction for Milk Processing Unit (Rs./Sq.ft)</t>
  </si>
  <si>
    <t>Cost for Establishment of Bio Gas Unit (in Rs.)</t>
  </si>
  <si>
    <t>Cost for Establishment of Vermicompost Unit (in Rs.)</t>
  </si>
  <si>
    <t>Cost for Establishment of Silage Making Unit (in Rs.)</t>
  </si>
  <si>
    <t>EQUIPMENT</t>
  </si>
  <si>
    <t>Cost of Milking Machine (in Rs.)</t>
  </si>
  <si>
    <t>Cost of Chaff Cutter (in Rs.)</t>
  </si>
  <si>
    <t>Cost of Equipment for Feeder and Waterer (Rs./animal)</t>
  </si>
  <si>
    <t>Cost of Milking Can (in Rs.)</t>
  </si>
  <si>
    <t>Cost of Brush Cutter (in Rs.)</t>
  </si>
  <si>
    <t>Cost of Feed Making Machinery (in Rs.)</t>
  </si>
  <si>
    <t>Cost of Milk Processing Machinery (in Rs.)</t>
  </si>
  <si>
    <t>Cost of Motor for irrigation facilities (in Rs.)</t>
  </si>
  <si>
    <t>Cost of Sprinkler and Fogger</t>
  </si>
  <si>
    <t>Cost of Computers (in Rs.)</t>
  </si>
  <si>
    <t>Cost of CCTV (in Rs.)</t>
  </si>
  <si>
    <t>VEHICLE</t>
  </si>
  <si>
    <t>Cost of Vehicle (in Rs./Vehicle)</t>
  </si>
  <si>
    <t>Number of Two Wheeler (in Nos.)</t>
  </si>
  <si>
    <t>Number of Four Wheeler (in Nos.)</t>
  </si>
  <si>
    <t>OTHER INFRASTRUCTURE</t>
  </si>
  <si>
    <t>Cost of Establishment of Overhead Tank (in Rs.)</t>
  </si>
  <si>
    <t>Cost of Fencing  (in Rs.)</t>
  </si>
  <si>
    <t>Land leveling Charges (in Rs.)</t>
  </si>
  <si>
    <t>Digging of Borewell (in Rs.)</t>
  </si>
  <si>
    <t>Insurance Premium (in percent / animal / annum)</t>
  </si>
  <si>
    <t>Margin Money (in percent)</t>
  </si>
  <si>
    <t>Rate of Interets (in percent)</t>
  </si>
  <si>
    <t>Subsidy (in percent to the total cost of the project)</t>
  </si>
  <si>
    <t>EXPENSES</t>
  </si>
  <si>
    <t>Total Dry Period (in days/annum/animal)</t>
  </si>
  <si>
    <t>Total Milking Period (in days/annum/animal)</t>
  </si>
  <si>
    <t>Concentrate Feed Requirement for Milking Period (Kg/day/animal)</t>
  </si>
  <si>
    <t>Concentrate Feed Requirement for Dry Period (Kg/day/animal)</t>
  </si>
  <si>
    <t>Cost of Concentrate Feed (Rs./kg)</t>
  </si>
  <si>
    <t>Dry Fodder Requirement both milking and dry period (kg/day/animal)</t>
  </si>
  <si>
    <t>Cost of Dry Fodder (Rs./kg)</t>
  </si>
  <si>
    <t>Green Fodder Production from Second Year onwards (Rs./acre)</t>
  </si>
  <si>
    <t>Green Fodder Field Establishment in First Year (Rs./acre)</t>
  </si>
  <si>
    <t>Green Fodder Area Requirement (in acres)</t>
  </si>
  <si>
    <t>Electricity Charges (Rs./month)</t>
  </si>
  <si>
    <t>Fuel Charges (Rs./month)</t>
  </si>
  <si>
    <t>Depreciation on Animal sheds and other Buildings (in Percent /annum)</t>
  </si>
  <si>
    <t>Depreciation on All type of Equipments (in percent / annum)</t>
  </si>
  <si>
    <t>LABOUR</t>
  </si>
  <si>
    <t>Wages for Farm Worker (in Rs./month)</t>
  </si>
  <si>
    <t>No. of Labour Required for Farm Work (in nos)</t>
  </si>
  <si>
    <t>No. of Farm Manager Required (in nos)</t>
  </si>
  <si>
    <t>No. of Drivers Required (in nos)</t>
  </si>
  <si>
    <t>No. of Office Staff Required (in nos)</t>
  </si>
  <si>
    <t>Salary for Office Staff (in Rs./month)</t>
  </si>
  <si>
    <t>Salary for Driver (in Rs./month)</t>
  </si>
  <si>
    <t>salary for Farm manager (in Rs./month)</t>
  </si>
  <si>
    <t>Expenses for Feed Making Unit (Rs./annum)</t>
  </si>
  <si>
    <t>Expenses for Milk Processing Unit (Rs./annum)</t>
  </si>
  <si>
    <t>Expenses for Vermicompost Unit (Rs./annum)</t>
  </si>
  <si>
    <t>Expenses for Silage Making Unit (Rs./annum)</t>
  </si>
  <si>
    <t>RETURNS</t>
  </si>
  <si>
    <t>Sale Price of Milk (Rs./Litre)</t>
  </si>
  <si>
    <t>Sale Price of Male Calves  (Rs./Calf )</t>
  </si>
  <si>
    <t>Value of Female Calves (Rs./Calf)</t>
  </si>
  <si>
    <t>Sale Price of Mannure (Rs./animal/annum)</t>
  </si>
  <si>
    <t>Income from Milk Processing Unit (Rs./annum)</t>
  </si>
  <si>
    <t>Income from Silage Making Unit (Rs./annum)</t>
  </si>
  <si>
    <t>Income from Vermicompost Unit (Rs./annum)</t>
  </si>
  <si>
    <t>Income from Feed Making Unit (Rs./annum)</t>
  </si>
  <si>
    <t>INVESTMENT OF THE PROJECT</t>
  </si>
  <si>
    <t>CAPITAL/FIXED INVESTMENT</t>
  </si>
  <si>
    <t>Cost of Milch Animals</t>
  </si>
  <si>
    <t xml:space="preserve">Cost of Construction for Animal Shed </t>
  </si>
  <si>
    <t xml:space="preserve">Cost of Construction for Calves pen </t>
  </si>
  <si>
    <t xml:space="preserve">Cost of Construction for Store Room </t>
  </si>
  <si>
    <t>MENAS OF FINANCE</t>
  </si>
  <si>
    <t>Cost of Vehicle</t>
  </si>
  <si>
    <t>Total Capital Investment</t>
  </si>
  <si>
    <t>WORKING CAPITAL</t>
  </si>
  <si>
    <t xml:space="preserve">Insurance Premium </t>
  </si>
  <si>
    <t xml:space="preserve">Transport Charges </t>
  </si>
  <si>
    <t>Cost of Concentrate Feed</t>
  </si>
  <si>
    <t>Cost of Dry Fodder</t>
  </si>
  <si>
    <t>Cost of Green Fodder</t>
  </si>
  <si>
    <t>Veterinary Expenses</t>
  </si>
  <si>
    <t>Electricity Expenses</t>
  </si>
  <si>
    <t>Fuel Expenses</t>
  </si>
  <si>
    <t>Miscellaneous Expenses</t>
  </si>
  <si>
    <t>Labour Wages</t>
  </si>
  <si>
    <t xml:space="preserve">Expenses for Feed Making Unit </t>
  </si>
  <si>
    <t xml:space="preserve">Expenses for Milk Processing Unit </t>
  </si>
  <si>
    <t>Expenses for Vermicompost Unit</t>
  </si>
  <si>
    <t xml:space="preserve">Expenses for Silage Making Unit </t>
  </si>
  <si>
    <t>Total Working Capital</t>
  </si>
  <si>
    <t>Total Cost of the Project</t>
  </si>
  <si>
    <t>Loan From Bank</t>
  </si>
  <si>
    <t>Margin Money</t>
  </si>
  <si>
    <t>Total</t>
  </si>
  <si>
    <t xml:space="preserve">Subsidy </t>
  </si>
  <si>
    <t>PRODUCTION CHART</t>
  </si>
  <si>
    <t>Lactation Yield (in Litres)</t>
  </si>
  <si>
    <t>Second Batch (Milk Yield Quantity in Litres)</t>
  </si>
  <si>
    <t>First Batch (Milk Yield Quantity in Litres)</t>
  </si>
  <si>
    <t>I Year</t>
  </si>
  <si>
    <t>II Year</t>
  </si>
  <si>
    <t>III Year</t>
  </si>
  <si>
    <t>IV Year</t>
  </si>
  <si>
    <t>V Year</t>
  </si>
  <si>
    <t>VI Year</t>
  </si>
  <si>
    <t>VII Year</t>
  </si>
  <si>
    <t>Total Milk Yield in Litres</t>
  </si>
  <si>
    <t>EXPENDITURE INCOME STATEMENT</t>
  </si>
  <si>
    <t xml:space="preserve">Expenditure </t>
  </si>
  <si>
    <t>Total Expendiutre</t>
  </si>
  <si>
    <t>Income</t>
  </si>
  <si>
    <t>Veterinary Aid for Milch Animal (Rs./animal/annum)</t>
  </si>
  <si>
    <t>Miscellaneous Expenses (in Rs./animal/annum)</t>
  </si>
  <si>
    <t>By Sale of Milk</t>
  </si>
  <si>
    <t>By Sale of Male Calves</t>
  </si>
  <si>
    <t>By Sale Value of Female Calves</t>
  </si>
  <si>
    <t>Income from Milk Processing Unit</t>
  </si>
  <si>
    <t>Income from Vermicompost Unit</t>
  </si>
  <si>
    <t>Total Income</t>
  </si>
  <si>
    <t>Interest</t>
  </si>
  <si>
    <t>My Sale of Mannure</t>
  </si>
  <si>
    <t>Income from Silage Making Unit</t>
  </si>
  <si>
    <t>Net Income</t>
  </si>
  <si>
    <t>Depreciation on Building</t>
  </si>
  <si>
    <t>Depreciation on Equipments</t>
  </si>
  <si>
    <t>CASH FLOW STATEMENT</t>
  </si>
  <si>
    <t>Total Expenditure</t>
  </si>
  <si>
    <t>Total Revenue</t>
  </si>
  <si>
    <t xml:space="preserve">Depreciation </t>
  </si>
  <si>
    <t xml:space="preserve"> Net Revenue</t>
  </si>
  <si>
    <t xml:space="preserve">Net Revenue After Dep and Int </t>
  </si>
  <si>
    <t>Total (INT + DEP)</t>
  </si>
  <si>
    <t>REPAYMENT SCHEDULE</t>
  </si>
  <si>
    <t>Loan Amount</t>
  </si>
  <si>
    <t>Rate of Interest per annum</t>
  </si>
  <si>
    <t>per month</t>
  </si>
  <si>
    <t>Term of loan in Years</t>
  </si>
  <si>
    <t>months</t>
  </si>
  <si>
    <t>Payment due per year</t>
  </si>
  <si>
    <t>Payment due per month</t>
  </si>
  <si>
    <t>MONTH</t>
  </si>
  <si>
    <t>PAYMENT DUE</t>
  </si>
  <si>
    <t>PRINCIPAL</t>
  </si>
  <si>
    <t>INTEREST</t>
  </si>
  <si>
    <t>BALANCE</t>
  </si>
  <si>
    <t>Building</t>
  </si>
  <si>
    <t>Equipment</t>
  </si>
  <si>
    <t>Year</t>
  </si>
  <si>
    <t>Beginning Value</t>
  </si>
  <si>
    <t>Rate of Dep.</t>
  </si>
  <si>
    <t>End Value</t>
  </si>
  <si>
    <t>DEPRECIATION</t>
  </si>
  <si>
    <t>FINANCIAL ANALYSIS OF THE PROJECT</t>
  </si>
  <si>
    <t>Net Present Worth and Benefit Cost Ratio</t>
  </si>
  <si>
    <t>Expenditure</t>
  </si>
  <si>
    <t>Revenue</t>
  </si>
  <si>
    <t>Discount Factor</t>
  </si>
  <si>
    <t>PWof Expenditure</t>
  </si>
  <si>
    <t>PW of Benefit</t>
  </si>
  <si>
    <t>Total Expenditure Without DEP+ INT</t>
  </si>
  <si>
    <t>NPW</t>
  </si>
  <si>
    <t>INB</t>
  </si>
  <si>
    <t>DF Higher IR</t>
  </si>
  <si>
    <t>PV of Lower IR</t>
  </si>
  <si>
    <t>PV of Higher IR</t>
  </si>
  <si>
    <t>IRR</t>
  </si>
  <si>
    <t>%</t>
  </si>
  <si>
    <t>Internal Rate of Return</t>
  </si>
  <si>
    <t>Debt Service Coverage Ratio</t>
  </si>
  <si>
    <t>Total Debt</t>
  </si>
  <si>
    <t>DSCR Vaue</t>
  </si>
  <si>
    <t>Average DSCR</t>
  </si>
  <si>
    <t>Cow /</t>
  </si>
  <si>
    <t xml:space="preserve">Cost of Construction for Labour Quarters </t>
  </si>
  <si>
    <t xml:space="preserve">Cost of Equipment for Feeder and Waterer </t>
  </si>
  <si>
    <t xml:space="preserve">Cost of Milking Can </t>
  </si>
  <si>
    <t xml:space="preserve">Cost of Milking Machine </t>
  </si>
  <si>
    <t xml:space="preserve">Cost of Chaff Cutter </t>
  </si>
  <si>
    <t xml:space="preserve">Cost of Brush Cutter </t>
  </si>
  <si>
    <t xml:space="preserve">Cost of Feed Making Machinery </t>
  </si>
  <si>
    <t>Cost of Milk Processing Machinery</t>
  </si>
  <si>
    <t xml:space="preserve">Cost of Motor for irrigation facilities </t>
  </si>
  <si>
    <t xml:space="preserve">Cost of Establishment of Overhead Tank </t>
  </si>
  <si>
    <t xml:space="preserve">Cost of Fencing  </t>
  </si>
  <si>
    <t xml:space="preserve">Land leveling Charges </t>
  </si>
  <si>
    <t xml:space="preserve">Digging of Borewell </t>
  </si>
  <si>
    <t xml:space="preserve">Cost of Construction for Feed Mill </t>
  </si>
  <si>
    <t xml:space="preserve">Cost of Construction for Milk Processing Unit </t>
  </si>
  <si>
    <t xml:space="preserve">Cost for Establishment of Bio Gas Unit </t>
  </si>
  <si>
    <t xml:space="preserve">Cost for Establishment of Vermicompost Unit </t>
  </si>
  <si>
    <t xml:space="preserve">Cost for Establishment of Silage Making Unit </t>
  </si>
  <si>
    <t xml:space="preserve">Cost of Computers </t>
  </si>
  <si>
    <t xml:space="preserve">Cost of CCTV </t>
  </si>
  <si>
    <t>Development of specialized computer software to assist veterinary professionals in creating bankable livestock and poultry farming project report</t>
  </si>
  <si>
    <t>DHARSHID VINESH, U.R. BVN 23018</t>
  </si>
  <si>
    <t>DHARSHIKA, K BVN 23038</t>
  </si>
  <si>
    <t>III PFY, B.V.Sc., &amp; A.H., 2023-24 Batch</t>
  </si>
  <si>
    <t>Dr. V. Senthilkumar, M.V.Sc., Ph.D.,</t>
  </si>
  <si>
    <t>Professor and Head,</t>
  </si>
  <si>
    <t>TAMIL NADU VETERINARY AND ANIMAL SCIENCEAS UNIVERSITY</t>
  </si>
  <si>
    <t>VETERINARY COLLEGE AND RESEARCH INSTITUTE, NAMAKKAL</t>
  </si>
  <si>
    <t>DEPARTMENT OF ANIMAL HUSBANDRY ECONOMICS</t>
  </si>
  <si>
    <t>Under Tamil Nadu GovernmentScheme on</t>
  </si>
  <si>
    <t xml:space="preserve"> "Students - Entrepreneurs - Industrialists Conclave: Showcasing, refinement and support for  commersialization of the innovations of students in the field of Veterinary and Animal Sciences"</t>
  </si>
  <si>
    <t>Name of the Student</t>
  </si>
  <si>
    <t>Name of the Mentor</t>
  </si>
  <si>
    <t>Department of Animal Husbandry Economics</t>
  </si>
  <si>
    <t>Veterinary College and Reasearch Institute</t>
  </si>
  <si>
    <t>Namakkal 637 002</t>
  </si>
  <si>
    <t>Title of the Project:</t>
  </si>
  <si>
    <t>per cow</t>
  </si>
  <si>
    <t>per calf</t>
  </si>
  <si>
    <t>55-70 sq.ft</t>
  </si>
  <si>
    <t>15-20 sq.ft</t>
  </si>
  <si>
    <t>Standard</t>
  </si>
  <si>
    <t xml:space="preserve">Fixed Investment : It refers to buying /constructing  long term physical assets such as animals, sheds and equipments. </t>
  </si>
  <si>
    <t xml:space="preserve">Working Capital: It represents the funds required to operate day to day farming expenses up to the certain period of receiving income. </t>
  </si>
  <si>
    <t>Margin Money: Farmer/Beneficiary Contribution to the total project cost. Range about 5 to 25 per cent</t>
  </si>
  <si>
    <t>Subsidy : Various rate of susbsidy avaiable depends on the scheme announced by Government</t>
  </si>
  <si>
    <t>Depreciation: Decline in value by usage or wear and tear. Buildings 10 % , Equipments 15%</t>
  </si>
  <si>
    <t>VIABLE OF THE PROJECT</t>
  </si>
  <si>
    <t>Positive</t>
  </si>
  <si>
    <t>More than one</t>
  </si>
  <si>
    <t>More than the lower interest rate</t>
  </si>
  <si>
    <t>Above two</t>
  </si>
</sst>
</file>

<file path=xl/styles.xml><?xml version="1.0" encoding="utf-8"?>
<styleSheet xmlns="http://schemas.openxmlformats.org/spreadsheetml/2006/main">
  <numFmts count="1">
    <numFmt numFmtId="164" formatCode="0.000"/>
  </numFmts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Arial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Font="1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/>
    <xf numFmtId="1" fontId="2" fillId="0" borderId="0" xfId="0" applyNumberFormat="1" applyFont="1"/>
    <xf numFmtId="0" fontId="7" fillId="0" borderId="0" xfId="0" applyFont="1"/>
    <xf numFmtId="0" fontId="8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justify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center"/>
    </xf>
    <xf numFmtId="0" fontId="15" fillId="0" borderId="0" xfId="0" applyFont="1"/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0" xfId="0" applyNumberFormat="1" applyFont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350520</xdr:colOff>
      <xdr:row>7</xdr:row>
      <xdr:rowOff>99060</xdr:rowOff>
    </xdr:from>
    <xdr:to>
      <xdr:col>4</xdr:col>
      <xdr:colOff>198120</xdr:colOff>
      <xdr:row>12</xdr:row>
      <xdr:rowOff>114935</xdr:rowOff>
    </xdr:to>
    <xdr:pic>
      <xdr:nvPicPr>
        <xdr:cNvPr id="2" name="Picture 1" descr="Image result for tanuvas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69720" y="1379220"/>
          <a:ext cx="1066800" cy="93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434340</xdr:colOff>
      <xdr:row>7</xdr:row>
      <xdr:rowOff>160020</xdr:rowOff>
    </xdr:from>
    <xdr:to>
      <xdr:col>16</xdr:col>
      <xdr:colOff>434340</xdr:colOff>
      <xdr:row>13</xdr:row>
      <xdr:rowOff>86677</xdr:rowOff>
    </xdr:to>
    <xdr:pic>
      <xdr:nvPicPr>
        <xdr:cNvPr id="3" name="Picture 2" descr="VCRI green 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68740" y="1440180"/>
          <a:ext cx="1219200" cy="1023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0:K29"/>
  <sheetViews>
    <sheetView tabSelected="1" topLeftCell="A7" workbookViewId="0">
      <selection activeCell="F29" sqref="F29"/>
    </sheetView>
  </sheetViews>
  <sheetFormatPr defaultRowHeight="14.4"/>
  <cols>
    <col min="6" max="6" width="20" customWidth="1"/>
  </cols>
  <sheetData>
    <row r="10" spans="6:11">
      <c r="F10" s="1" t="s">
        <v>256</v>
      </c>
      <c r="G10" s="1"/>
      <c r="H10" s="1"/>
      <c r="I10" s="1"/>
      <c r="J10" s="1"/>
      <c r="K10" s="1"/>
    </row>
    <row r="11" spans="6:11">
      <c r="F11" s="1" t="s">
        <v>257</v>
      </c>
      <c r="G11" s="1"/>
      <c r="H11" s="1"/>
      <c r="I11" s="1"/>
      <c r="J11" s="1"/>
      <c r="K11" s="1"/>
    </row>
    <row r="12" spans="6:11">
      <c r="F12" s="1" t="s">
        <v>258</v>
      </c>
      <c r="G12" s="1"/>
      <c r="H12" s="1"/>
      <c r="I12" s="1"/>
      <c r="J12" s="1"/>
      <c r="K12" s="1"/>
    </row>
    <row r="13" spans="6:11">
      <c r="H13" s="25" t="s">
        <v>0</v>
      </c>
    </row>
    <row r="15" spans="6:11">
      <c r="F15" s="1" t="s">
        <v>266</v>
      </c>
      <c r="G15" s="22" t="s">
        <v>250</v>
      </c>
    </row>
    <row r="16" spans="6:11">
      <c r="H16" t="s">
        <v>259</v>
      </c>
    </row>
    <row r="17" spans="7:9">
      <c r="I17" t="s">
        <v>260</v>
      </c>
    </row>
    <row r="19" spans="7:9">
      <c r="G19" t="s">
        <v>261</v>
      </c>
    </row>
    <row r="20" spans="7:9">
      <c r="G20" s="1" t="s">
        <v>251</v>
      </c>
    </row>
    <row r="21" spans="7:9">
      <c r="G21" s="1" t="s">
        <v>252</v>
      </c>
    </row>
    <row r="22" spans="7:9">
      <c r="G22" t="s">
        <v>253</v>
      </c>
    </row>
    <row r="24" spans="7:9">
      <c r="G24" t="s">
        <v>262</v>
      </c>
    </row>
    <row r="25" spans="7:9">
      <c r="G25" s="23"/>
      <c r="H25" s="1" t="s">
        <v>254</v>
      </c>
    </row>
    <row r="26" spans="7:9">
      <c r="G26" s="23"/>
      <c r="H26" t="s">
        <v>255</v>
      </c>
    </row>
    <row r="27" spans="7:9">
      <c r="G27" s="23"/>
      <c r="H27" t="s">
        <v>263</v>
      </c>
    </row>
    <row r="28" spans="7:9">
      <c r="G28" s="23"/>
      <c r="H28" t="s">
        <v>264</v>
      </c>
    </row>
    <row r="29" spans="7:9">
      <c r="G29" s="24"/>
      <c r="H29" t="s">
        <v>265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F33"/>
  <sheetViews>
    <sheetView topLeftCell="A10" workbookViewId="0">
      <selection activeCell="H14" sqref="H14"/>
    </sheetView>
  </sheetViews>
  <sheetFormatPr defaultRowHeight="14.4"/>
  <cols>
    <col min="1" max="1" width="5.77734375" customWidth="1"/>
    <col min="2" max="2" width="40.5546875" customWidth="1"/>
  </cols>
  <sheetData>
    <row r="3" spans="1:6">
      <c r="C3" s="25" t="s">
        <v>0</v>
      </c>
      <c r="D3" s="4"/>
      <c r="E3" s="4"/>
      <c r="F3" s="4"/>
    </row>
    <row r="4" spans="1:6">
      <c r="C4" s="4"/>
      <c r="D4" s="4"/>
      <c r="E4" s="4"/>
      <c r="F4" s="4"/>
    </row>
    <row r="5" spans="1:6">
      <c r="C5" s="25" t="s">
        <v>1</v>
      </c>
      <c r="D5" s="4"/>
      <c r="E5" s="4"/>
      <c r="F5" s="4"/>
    </row>
    <row r="6" spans="1:6">
      <c r="A6" s="1">
        <v>1</v>
      </c>
      <c r="B6" s="1" t="s">
        <v>2</v>
      </c>
    </row>
    <row r="7" spans="1:6" ht="58.8" customHeight="1">
      <c r="A7" s="2">
        <v>2</v>
      </c>
      <c r="B7" s="2" t="s">
        <v>3</v>
      </c>
    </row>
    <row r="8" spans="1:6" ht="18.600000000000001" customHeight="1">
      <c r="A8" s="2">
        <v>3</v>
      </c>
      <c r="B8" s="2" t="s">
        <v>7</v>
      </c>
    </row>
    <row r="9" spans="1:6">
      <c r="A9" s="1">
        <v>4</v>
      </c>
      <c r="B9" s="1" t="s">
        <v>4</v>
      </c>
    </row>
    <row r="10" spans="1:6">
      <c r="A10" s="1">
        <v>5</v>
      </c>
      <c r="B10" s="1" t="s">
        <v>8</v>
      </c>
    </row>
    <row r="11" spans="1:6">
      <c r="A11" s="1">
        <v>6</v>
      </c>
      <c r="B11" s="1" t="s">
        <v>5</v>
      </c>
    </row>
    <row r="12" spans="1:6">
      <c r="A12" s="1"/>
      <c r="B12" s="1" t="s">
        <v>19</v>
      </c>
    </row>
    <row r="13" spans="1:6" ht="35.4" customHeight="1">
      <c r="A13" s="2">
        <v>7</v>
      </c>
      <c r="B13" s="2" t="s">
        <v>6</v>
      </c>
    </row>
    <row r="14" spans="1:6">
      <c r="A14" s="1">
        <v>8</v>
      </c>
      <c r="B14" s="1" t="s">
        <v>22</v>
      </c>
    </row>
    <row r="15" spans="1:6">
      <c r="A15" s="1">
        <v>9</v>
      </c>
      <c r="B15" s="1" t="s">
        <v>23</v>
      </c>
    </row>
    <row r="16" spans="1:6">
      <c r="A16" s="1">
        <v>10</v>
      </c>
      <c r="B16" s="1" t="s">
        <v>9</v>
      </c>
    </row>
    <row r="17" spans="1:3">
      <c r="A17" s="1"/>
      <c r="B17" t="s">
        <v>27</v>
      </c>
      <c r="C17">
        <f>Investment!C33</f>
        <v>1482500</v>
      </c>
    </row>
    <row r="18" spans="1:3">
      <c r="A18" s="1"/>
      <c r="B18" t="s">
        <v>28</v>
      </c>
      <c r="C18">
        <f>Investment!C51</f>
        <v>151100</v>
      </c>
    </row>
    <row r="19" spans="1:3">
      <c r="A19" s="1"/>
      <c r="B19" t="s">
        <v>29</v>
      </c>
      <c r="C19">
        <f>Investment!C52</f>
        <v>1633600</v>
      </c>
    </row>
    <row r="20" spans="1:3">
      <c r="A20" s="1">
        <v>11</v>
      </c>
      <c r="B20" s="1" t="s">
        <v>10</v>
      </c>
    </row>
    <row r="21" spans="1:3">
      <c r="A21" s="1"/>
      <c r="B21" s="3" t="s">
        <v>11</v>
      </c>
      <c r="C21">
        <f>Investment!C55</f>
        <v>1551920</v>
      </c>
    </row>
    <row r="22" spans="1:3">
      <c r="A22" s="1"/>
      <c r="B22" t="s">
        <v>12</v>
      </c>
      <c r="C22">
        <f>Investment!C56</f>
        <v>81680</v>
      </c>
    </row>
    <row r="23" spans="1:3">
      <c r="A23" s="1"/>
      <c r="B23" t="s">
        <v>20</v>
      </c>
      <c r="C23">
        <f>Investment!C58</f>
        <v>571760</v>
      </c>
    </row>
    <row r="24" spans="1:3">
      <c r="A24" s="1"/>
      <c r="B24" t="s">
        <v>21</v>
      </c>
    </row>
    <row r="25" spans="1:3">
      <c r="A25" s="1"/>
      <c r="B25" t="s">
        <v>26</v>
      </c>
    </row>
    <row r="26" spans="1:3">
      <c r="A26" s="1"/>
      <c r="B26" s="3" t="s">
        <v>24</v>
      </c>
      <c r="C26">
        <f>'Techno Economic Parameters'!C53</f>
        <v>11.5</v>
      </c>
    </row>
    <row r="27" spans="1:3">
      <c r="A27" s="1"/>
      <c r="B27" s="3" t="s">
        <v>25</v>
      </c>
      <c r="C27">
        <f>'Techno Economic Parameters'!C54</f>
        <v>7</v>
      </c>
    </row>
    <row r="28" spans="1:3">
      <c r="A28" s="1">
        <v>12</v>
      </c>
      <c r="B28" s="1" t="s">
        <v>13</v>
      </c>
    </row>
    <row r="29" spans="1:3">
      <c r="A29" s="1"/>
      <c r="B29" s="3" t="s">
        <v>15</v>
      </c>
      <c r="C29" s="5">
        <f>'Financial Analysis'!F15</f>
        <v>2901362.7842521174</v>
      </c>
    </row>
    <row r="30" spans="1:3">
      <c r="A30" s="1"/>
      <c r="B30" s="3" t="s">
        <v>16</v>
      </c>
      <c r="C30" s="6">
        <f>'Financial Analysis'!F16</f>
        <v>1.9933331975437725</v>
      </c>
    </row>
    <row r="31" spans="1:3">
      <c r="A31" s="1"/>
      <c r="B31" s="3" t="s">
        <v>17</v>
      </c>
      <c r="C31" s="6">
        <f>'Financial Analysis'!E28</f>
        <v>24.206611712136741</v>
      </c>
    </row>
    <row r="32" spans="1:3">
      <c r="A32" s="1"/>
      <c r="B32" s="3" t="s">
        <v>14</v>
      </c>
      <c r="C32" s="6">
        <f>'Financial Analysis'!E38</f>
        <v>2.6610251437878221</v>
      </c>
    </row>
    <row r="33" spans="1:2">
      <c r="A33" s="1">
        <v>13</v>
      </c>
      <c r="B33" s="1" t="s">
        <v>18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H103"/>
  <sheetViews>
    <sheetView topLeftCell="A85" workbookViewId="0">
      <selection activeCell="B95" sqref="B95"/>
    </sheetView>
  </sheetViews>
  <sheetFormatPr defaultRowHeight="14.4"/>
  <cols>
    <col min="1" max="1" width="6.88671875" customWidth="1"/>
    <col min="2" max="2" width="57" customWidth="1"/>
    <col min="3" max="3" width="13.21875" customWidth="1"/>
    <col min="4" max="4" width="11.5546875" customWidth="1"/>
    <col min="5" max="5" width="10.6640625" customWidth="1"/>
    <col min="6" max="7" width="10" customWidth="1"/>
  </cols>
  <sheetData>
    <row r="3" spans="2:8">
      <c r="C3" s="25" t="s">
        <v>0</v>
      </c>
    </row>
    <row r="5" spans="2:8">
      <c r="B5" s="27" t="s">
        <v>30</v>
      </c>
    </row>
    <row r="6" spans="2:8">
      <c r="B6" s="27" t="s">
        <v>44</v>
      </c>
    </row>
    <row r="7" spans="2:8">
      <c r="B7" t="s">
        <v>42</v>
      </c>
      <c r="C7" s="1" t="s">
        <v>229</v>
      </c>
      <c r="D7" s="1" t="s">
        <v>31</v>
      </c>
      <c r="E7" s="1"/>
      <c r="F7" s="1"/>
      <c r="G7" s="1"/>
    </row>
    <row r="8" spans="2:8">
      <c r="B8" t="s">
        <v>32</v>
      </c>
      <c r="C8" s="1" t="s">
        <v>33</v>
      </c>
      <c r="D8" s="1" t="s">
        <v>34</v>
      </c>
      <c r="E8" s="1" t="s">
        <v>35</v>
      </c>
      <c r="F8" s="1"/>
      <c r="G8" s="1"/>
      <c r="H8" s="4"/>
    </row>
    <row r="9" spans="2:8">
      <c r="B9" s="1" t="s">
        <v>36</v>
      </c>
      <c r="C9" s="1">
        <v>10</v>
      </c>
      <c r="D9" s="13">
        <v>5</v>
      </c>
      <c r="E9" s="1" t="s">
        <v>37</v>
      </c>
      <c r="F9" s="13">
        <v>5</v>
      </c>
      <c r="G9" s="1" t="s">
        <v>38</v>
      </c>
      <c r="H9" s="4"/>
    </row>
    <row r="10" spans="2:8">
      <c r="B10" t="s">
        <v>39</v>
      </c>
      <c r="C10">
        <v>80000</v>
      </c>
      <c r="H10" s="4"/>
    </row>
    <row r="11" spans="2:8">
      <c r="B11" t="s">
        <v>41</v>
      </c>
      <c r="C11">
        <v>12</v>
      </c>
      <c r="H11" s="4"/>
    </row>
    <row r="12" spans="2:8">
      <c r="B12" t="s">
        <v>81</v>
      </c>
      <c r="C12">
        <v>6</v>
      </c>
      <c r="H12" s="4"/>
    </row>
    <row r="13" spans="2:8">
      <c r="B13" t="s">
        <v>40</v>
      </c>
      <c r="C13">
        <v>1000</v>
      </c>
      <c r="H13" s="4"/>
    </row>
    <row r="14" spans="2:8">
      <c r="H14" s="4"/>
    </row>
    <row r="15" spans="2:8">
      <c r="B15" s="27" t="s">
        <v>43</v>
      </c>
      <c r="E15" t="s">
        <v>271</v>
      </c>
      <c r="H15" s="4"/>
    </row>
    <row r="16" spans="2:8">
      <c r="B16" t="s">
        <v>51</v>
      </c>
      <c r="C16">
        <v>60</v>
      </c>
      <c r="E16" t="s">
        <v>269</v>
      </c>
      <c r="F16" t="s">
        <v>267</v>
      </c>
    </row>
    <row r="17" spans="2:6">
      <c r="B17" t="s">
        <v>45</v>
      </c>
      <c r="C17">
        <v>450</v>
      </c>
    </row>
    <row r="18" spans="2:6">
      <c r="B18" t="s">
        <v>52</v>
      </c>
      <c r="C18">
        <v>30</v>
      </c>
      <c r="E18" t="s">
        <v>270</v>
      </c>
      <c r="F18" t="s">
        <v>268</v>
      </c>
    </row>
    <row r="19" spans="2:6">
      <c r="B19" t="s">
        <v>46</v>
      </c>
      <c r="C19">
        <v>250</v>
      </c>
    </row>
    <row r="20" spans="2:6">
      <c r="B20" t="s">
        <v>47</v>
      </c>
      <c r="C20">
        <v>600</v>
      </c>
    </row>
    <row r="21" spans="2:6">
      <c r="B21" t="s">
        <v>48</v>
      </c>
      <c r="C21">
        <v>450</v>
      </c>
    </row>
    <row r="23" spans="2:6">
      <c r="B23" s="27" t="s">
        <v>60</v>
      </c>
    </row>
    <row r="24" spans="2:6">
      <c r="B24" t="s">
        <v>63</v>
      </c>
      <c r="C24">
        <v>200</v>
      </c>
    </row>
    <row r="25" spans="2:6">
      <c r="B25" t="s">
        <v>64</v>
      </c>
      <c r="C25">
        <v>3000</v>
      </c>
    </row>
    <row r="26" spans="2:6">
      <c r="B26" t="s">
        <v>61</v>
      </c>
      <c r="C26">
        <v>60000</v>
      </c>
    </row>
    <row r="27" spans="2:6">
      <c r="B27" t="s">
        <v>62</v>
      </c>
      <c r="C27">
        <v>30000</v>
      </c>
    </row>
    <row r="28" spans="2:6">
      <c r="B28" t="s">
        <v>65</v>
      </c>
      <c r="C28">
        <v>10000</v>
      </c>
    </row>
    <row r="29" spans="2:6">
      <c r="B29" t="s">
        <v>66</v>
      </c>
      <c r="C29">
        <v>0</v>
      </c>
    </row>
    <row r="30" spans="2:6">
      <c r="B30" t="s">
        <v>67</v>
      </c>
      <c r="C30">
        <v>0</v>
      </c>
    </row>
    <row r="31" spans="2:6">
      <c r="B31" t="s">
        <v>68</v>
      </c>
      <c r="C31">
        <v>0</v>
      </c>
    </row>
    <row r="32" spans="2:6">
      <c r="B32" t="s">
        <v>69</v>
      </c>
      <c r="C32">
        <v>0</v>
      </c>
    </row>
    <row r="33" spans="2:8">
      <c r="B33" t="s">
        <v>70</v>
      </c>
      <c r="C33">
        <v>0</v>
      </c>
    </row>
    <row r="34" spans="2:8">
      <c r="B34" t="s">
        <v>71</v>
      </c>
      <c r="C34">
        <v>0</v>
      </c>
    </row>
    <row r="36" spans="2:8">
      <c r="B36" s="27" t="s">
        <v>76</v>
      </c>
    </row>
    <row r="37" spans="2:8">
      <c r="B37" t="s">
        <v>50</v>
      </c>
      <c r="C37">
        <v>0</v>
      </c>
    </row>
    <row r="38" spans="2:8">
      <c r="B38" t="s">
        <v>49</v>
      </c>
      <c r="C38">
        <v>0</v>
      </c>
    </row>
    <row r="39" spans="2:8">
      <c r="B39" t="s">
        <v>77</v>
      </c>
      <c r="C39">
        <v>0</v>
      </c>
      <c r="H39" s="4"/>
    </row>
    <row r="40" spans="2:8">
      <c r="B40" t="s">
        <v>78</v>
      </c>
      <c r="C40">
        <v>0</v>
      </c>
      <c r="H40" s="4"/>
    </row>
    <row r="41" spans="2:8">
      <c r="B41" t="s">
        <v>79</v>
      </c>
      <c r="C41">
        <v>0</v>
      </c>
      <c r="H41" s="4"/>
    </row>
    <row r="42" spans="2:8">
      <c r="B42" t="s">
        <v>80</v>
      </c>
      <c r="C42">
        <v>0</v>
      </c>
      <c r="H42" s="4"/>
    </row>
    <row r="43" spans="2:8">
      <c r="B43" t="s">
        <v>53</v>
      </c>
      <c r="C43">
        <v>0</v>
      </c>
      <c r="H43" s="4"/>
    </row>
    <row r="44" spans="2:8">
      <c r="B44" t="s">
        <v>54</v>
      </c>
      <c r="C44">
        <v>0</v>
      </c>
      <c r="H44" s="4"/>
    </row>
    <row r="45" spans="2:8">
      <c r="B45" t="s">
        <v>55</v>
      </c>
      <c r="C45">
        <v>0</v>
      </c>
      <c r="H45" s="4"/>
    </row>
    <row r="46" spans="2:8">
      <c r="B46" t="s">
        <v>56</v>
      </c>
      <c r="C46">
        <v>0</v>
      </c>
      <c r="H46" s="4"/>
    </row>
    <row r="47" spans="2:8">
      <c r="B47" t="s">
        <v>57</v>
      </c>
      <c r="C47">
        <v>0</v>
      </c>
    </row>
    <row r="48" spans="2:8">
      <c r="B48" t="s">
        <v>58</v>
      </c>
      <c r="C48">
        <v>0</v>
      </c>
    </row>
    <row r="49" spans="2:3">
      <c r="B49" t="s">
        <v>59</v>
      </c>
      <c r="C49">
        <v>0</v>
      </c>
    </row>
    <row r="51" spans="2:3">
      <c r="B51" s="27" t="s">
        <v>128</v>
      </c>
    </row>
    <row r="52" spans="2:3">
      <c r="B52" t="s">
        <v>82</v>
      </c>
      <c r="C52">
        <v>5</v>
      </c>
    </row>
    <row r="53" spans="2:3">
      <c r="B53" t="s">
        <v>83</v>
      </c>
      <c r="C53">
        <v>11.5</v>
      </c>
    </row>
    <row r="54" spans="2:3">
      <c r="B54" t="s">
        <v>25</v>
      </c>
      <c r="C54">
        <v>7</v>
      </c>
    </row>
    <row r="55" spans="2:3">
      <c r="B55" t="s">
        <v>84</v>
      </c>
      <c r="C55">
        <v>35</v>
      </c>
    </row>
    <row r="57" spans="2:3">
      <c r="B57" s="27" t="s">
        <v>72</v>
      </c>
    </row>
    <row r="58" spans="2:3">
      <c r="B58" t="s">
        <v>74</v>
      </c>
      <c r="C58">
        <v>0</v>
      </c>
    </row>
    <row r="59" spans="2:3">
      <c r="B59" t="s">
        <v>73</v>
      </c>
      <c r="C59">
        <v>0</v>
      </c>
    </row>
    <row r="60" spans="2:3">
      <c r="B60" t="s">
        <v>75</v>
      </c>
      <c r="C60">
        <v>0</v>
      </c>
    </row>
    <row r="61" spans="2:3">
      <c r="B61" t="s">
        <v>73</v>
      </c>
      <c r="C61">
        <v>0</v>
      </c>
    </row>
    <row r="63" spans="2:3">
      <c r="B63" s="27" t="s">
        <v>85</v>
      </c>
    </row>
    <row r="64" spans="2:3">
      <c r="B64" t="s">
        <v>87</v>
      </c>
      <c r="C64">
        <v>300</v>
      </c>
    </row>
    <row r="65" spans="2:3">
      <c r="B65" t="s">
        <v>86</v>
      </c>
      <c r="C65">
        <v>65</v>
      </c>
    </row>
    <row r="66" spans="2:3">
      <c r="B66" t="s">
        <v>88</v>
      </c>
      <c r="C66">
        <v>4</v>
      </c>
    </row>
    <row r="67" spans="2:3">
      <c r="B67" t="s">
        <v>89</v>
      </c>
      <c r="C67">
        <v>2</v>
      </c>
    </row>
    <row r="68" spans="2:3">
      <c r="B68" t="s">
        <v>90</v>
      </c>
      <c r="C68">
        <v>24</v>
      </c>
    </row>
    <row r="69" spans="2:3">
      <c r="B69" t="s">
        <v>91</v>
      </c>
      <c r="C69">
        <v>4</v>
      </c>
    </row>
    <row r="70" spans="2:3">
      <c r="B70" t="s">
        <v>92</v>
      </c>
      <c r="C70">
        <v>3</v>
      </c>
    </row>
    <row r="71" spans="2:3">
      <c r="B71" t="s">
        <v>95</v>
      </c>
      <c r="C71">
        <v>2</v>
      </c>
    </row>
    <row r="72" spans="2:3">
      <c r="B72" t="s">
        <v>94</v>
      </c>
      <c r="C72">
        <v>5000</v>
      </c>
    </row>
    <row r="73" spans="2:3">
      <c r="B73" t="s">
        <v>93</v>
      </c>
      <c r="C73">
        <v>3000</v>
      </c>
    </row>
    <row r="74" spans="2:3">
      <c r="B74" t="s">
        <v>168</v>
      </c>
      <c r="C74">
        <v>500</v>
      </c>
    </row>
    <row r="75" spans="2:3">
      <c r="B75" t="s">
        <v>96</v>
      </c>
      <c r="C75">
        <v>500</v>
      </c>
    </row>
    <row r="76" spans="2:3">
      <c r="B76" t="s">
        <v>97</v>
      </c>
      <c r="C76">
        <v>0</v>
      </c>
    </row>
    <row r="77" spans="2:3">
      <c r="B77" t="s">
        <v>98</v>
      </c>
      <c r="C77">
        <v>10</v>
      </c>
    </row>
    <row r="78" spans="2:3">
      <c r="B78" t="s">
        <v>99</v>
      </c>
      <c r="C78">
        <v>15</v>
      </c>
    </row>
    <row r="79" spans="2:3">
      <c r="B79" t="s">
        <v>169</v>
      </c>
      <c r="C79">
        <v>100</v>
      </c>
    </row>
    <row r="80" spans="2:3">
      <c r="B80" t="s">
        <v>109</v>
      </c>
      <c r="C80">
        <v>0</v>
      </c>
    </row>
    <row r="81" spans="2:3">
      <c r="B81" t="s">
        <v>110</v>
      </c>
      <c r="C81">
        <v>0</v>
      </c>
    </row>
    <row r="82" spans="2:3">
      <c r="B82" t="s">
        <v>111</v>
      </c>
      <c r="C82">
        <v>0</v>
      </c>
    </row>
    <row r="83" spans="2:3">
      <c r="B83" t="s">
        <v>112</v>
      </c>
      <c r="C83">
        <v>0</v>
      </c>
    </row>
    <row r="85" spans="2:3">
      <c r="B85" s="27" t="s">
        <v>100</v>
      </c>
    </row>
    <row r="86" spans="2:3">
      <c r="B86" t="s">
        <v>102</v>
      </c>
      <c r="C86">
        <v>1</v>
      </c>
    </row>
    <row r="87" spans="2:3">
      <c r="B87" t="s">
        <v>101</v>
      </c>
      <c r="C87">
        <v>10000</v>
      </c>
    </row>
    <row r="88" spans="2:3">
      <c r="B88" t="s">
        <v>103</v>
      </c>
      <c r="C88">
        <v>0</v>
      </c>
    </row>
    <row r="89" spans="2:3">
      <c r="B89" t="s">
        <v>108</v>
      </c>
      <c r="C89">
        <v>0</v>
      </c>
    </row>
    <row r="90" spans="2:3">
      <c r="B90" t="s">
        <v>104</v>
      </c>
      <c r="C90">
        <v>0</v>
      </c>
    </row>
    <row r="91" spans="2:3">
      <c r="B91" t="s">
        <v>107</v>
      </c>
      <c r="C91">
        <v>0</v>
      </c>
    </row>
    <row r="92" spans="2:3">
      <c r="B92" t="s">
        <v>105</v>
      </c>
      <c r="C92">
        <v>0</v>
      </c>
    </row>
    <row r="93" spans="2:3">
      <c r="B93" t="s">
        <v>106</v>
      </c>
      <c r="C93">
        <v>0</v>
      </c>
    </row>
    <row r="95" spans="2:3">
      <c r="B95" s="27" t="s">
        <v>113</v>
      </c>
    </row>
    <row r="96" spans="2:3">
      <c r="B96" t="s">
        <v>114</v>
      </c>
      <c r="C96">
        <v>37</v>
      </c>
    </row>
    <row r="97" spans="2:3">
      <c r="B97" t="s">
        <v>115</v>
      </c>
      <c r="C97">
        <v>2000</v>
      </c>
    </row>
    <row r="98" spans="2:3">
      <c r="B98" t="s">
        <v>116</v>
      </c>
      <c r="C98">
        <v>5000</v>
      </c>
    </row>
    <row r="99" spans="2:3">
      <c r="B99" t="s">
        <v>117</v>
      </c>
      <c r="C99">
        <v>500</v>
      </c>
    </row>
    <row r="100" spans="2:3">
      <c r="B100" t="s">
        <v>121</v>
      </c>
      <c r="C100">
        <v>0</v>
      </c>
    </row>
    <row r="101" spans="2:3">
      <c r="B101" t="s">
        <v>118</v>
      </c>
      <c r="C101">
        <v>0</v>
      </c>
    </row>
    <row r="102" spans="2:3">
      <c r="B102" t="s">
        <v>119</v>
      </c>
      <c r="C102">
        <v>0</v>
      </c>
    </row>
    <row r="103" spans="2:3">
      <c r="B103" t="s">
        <v>120</v>
      </c>
      <c r="C10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E58"/>
  <sheetViews>
    <sheetView topLeftCell="A40" workbookViewId="0">
      <selection activeCell="B65" sqref="B65"/>
    </sheetView>
  </sheetViews>
  <sheetFormatPr defaultRowHeight="14.4"/>
  <cols>
    <col min="2" max="2" width="48.44140625" customWidth="1"/>
    <col min="3" max="3" width="9" bestFit="1" customWidth="1"/>
  </cols>
  <sheetData>
    <row r="2" spans="2:5">
      <c r="B2" s="25" t="s">
        <v>122</v>
      </c>
    </row>
    <row r="5" spans="2:5">
      <c r="B5" s="27" t="s">
        <v>123</v>
      </c>
      <c r="E5" t="s">
        <v>272</v>
      </c>
    </row>
    <row r="6" spans="2:5">
      <c r="B6" t="s">
        <v>124</v>
      </c>
      <c r="C6">
        <f>'Techno Economic Parameters'!C9*'Techno Economic Parameters'!C10</f>
        <v>800000</v>
      </c>
    </row>
    <row r="7" spans="2:5">
      <c r="B7" t="s">
        <v>125</v>
      </c>
      <c r="C7">
        <f>ROUNDDOWN(('Techno Economic Parameters'!C9*'Techno Economic Parameters'!C16*'Techno Economic Parameters'!C17),-2)</f>
        <v>270000</v>
      </c>
    </row>
    <row r="8" spans="2:5">
      <c r="B8" t="s">
        <v>126</v>
      </c>
      <c r="C8">
        <f>'Techno Economic Parameters'!C9/2*'Techno Economic Parameters'!C18*'Techno Economic Parameters'!C19</f>
        <v>37500</v>
      </c>
    </row>
    <row r="9" spans="2:5">
      <c r="B9" t="s">
        <v>127</v>
      </c>
      <c r="C9">
        <f>'Techno Economic Parameters'!C20*'Techno Economic Parameters'!C21</f>
        <v>270000</v>
      </c>
    </row>
    <row r="10" spans="2:5">
      <c r="B10" t="s">
        <v>230</v>
      </c>
      <c r="C10">
        <f>'Techno Economic Parameters'!C37*'Techno Economic Parameters'!C38</f>
        <v>0</v>
      </c>
    </row>
    <row r="11" spans="2:5">
      <c r="B11" t="s">
        <v>231</v>
      </c>
      <c r="C11">
        <f>'Techno Economic Parameters'!C9*'Techno Economic Parameters'!C24</f>
        <v>2000</v>
      </c>
    </row>
    <row r="12" spans="2:5">
      <c r="B12" t="s">
        <v>232</v>
      </c>
      <c r="C12">
        <f>'Techno Economic Parameters'!C25</f>
        <v>3000</v>
      </c>
    </row>
    <row r="13" spans="2:5">
      <c r="B13" t="s">
        <v>233</v>
      </c>
      <c r="C13">
        <f>'Techno Economic Parameters'!C26</f>
        <v>60000</v>
      </c>
    </row>
    <row r="14" spans="2:5">
      <c r="B14" t="s">
        <v>234</v>
      </c>
      <c r="C14">
        <f>'Techno Economic Parameters'!C27</f>
        <v>30000</v>
      </c>
    </row>
    <row r="15" spans="2:5">
      <c r="B15" t="s">
        <v>235</v>
      </c>
      <c r="C15">
        <f>'Techno Economic Parameters'!C28</f>
        <v>10000</v>
      </c>
    </row>
    <row r="16" spans="2:5">
      <c r="B16" t="s">
        <v>236</v>
      </c>
      <c r="C16">
        <f>'Techno Economic Parameters'!C29</f>
        <v>0</v>
      </c>
    </row>
    <row r="17" spans="2:3">
      <c r="B17" t="s">
        <v>237</v>
      </c>
      <c r="C17">
        <f>'Techno Economic Parameters'!C30</f>
        <v>0</v>
      </c>
    </row>
    <row r="18" spans="2:3">
      <c r="B18" t="s">
        <v>238</v>
      </c>
      <c r="C18">
        <f>'Techno Economic Parameters'!C31</f>
        <v>0</v>
      </c>
    </row>
    <row r="19" spans="2:3">
      <c r="B19" t="s">
        <v>69</v>
      </c>
      <c r="C19">
        <f>'Techno Economic Parameters'!C32</f>
        <v>0</v>
      </c>
    </row>
    <row r="20" spans="2:3">
      <c r="B20" t="s">
        <v>239</v>
      </c>
      <c r="C20">
        <f>'Techno Economic Parameters'!C39</f>
        <v>0</v>
      </c>
    </row>
    <row r="21" spans="2:3">
      <c r="B21" t="s">
        <v>240</v>
      </c>
      <c r="C21">
        <f>'Techno Economic Parameters'!C40</f>
        <v>0</v>
      </c>
    </row>
    <row r="22" spans="2:3">
      <c r="B22" t="s">
        <v>241</v>
      </c>
      <c r="C22">
        <f>'Techno Economic Parameters'!C41</f>
        <v>0</v>
      </c>
    </row>
    <row r="23" spans="2:3">
      <c r="B23" t="s">
        <v>242</v>
      </c>
      <c r="C23">
        <f>'Techno Economic Parameters'!C42</f>
        <v>0</v>
      </c>
    </row>
    <row r="24" spans="2:3">
      <c r="B24" t="s">
        <v>243</v>
      </c>
      <c r="C24">
        <f>'Techno Economic Parameters'!C43*'Techno Economic Parameters'!C44</f>
        <v>0</v>
      </c>
    </row>
    <row r="25" spans="2:3">
      <c r="B25" t="s">
        <v>244</v>
      </c>
      <c r="C25">
        <f>'Techno Economic Parameters'!C45*'Techno Economic Parameters'!C46</f>
        <v>0</v>
      </c>
    </row>
    <row r="26" spans="2:3">
      <c r="B26" t="s">
        <v>245</v>
      </c>
      <c r="C26">
        <f>'Techno Economic Parameters'!C47*'Techno Economic Parameters'!C48</f>
        <v>0</v>
      </c>
    </row>
    <row r="27" spans="2:3">
      <c r="B27" t="s">
        <v>246</v>
      </c>
      <c r="C27">
        <f>'Techno Economic Parameters'!C48</f>
        <v>0</v>
      </c>
    </row>
    <row r="28" spans="2:3">
      <c r="B28" t="s">
        <v>247</v>
      </c>
      <c r="C28">
        <f>'Techno Economic Parameters'!C49</f>
        <v>0</v>
      </c>
    </row>
    <row r="29" spans="2:3">
      <c r="B29" t="s">
        <v>129</v>
      </c>
      <c r="C29">
        <f>(('Techno Economic Parameters'!C58*'Techno Economic Parameters'!C59)+('Techno Economic Parameters'!C60*'Techno Economic Parameters'!E62))</f>
        <v>0</v>
      </c>
    </row>
    <row r="30" spans="2:3">
      <c r="B30" t="s">
        <v>248</v>
      </c>
      <c r="C30">
        <f>'Techno Economic Parameters'!C33</f>
        <v>0</v>
      </c>
    </row>
    <row r="31" spans="2:3">
      <c r="B31" t="s">
        <v>249</v>
      </c>
      <c r="C31">
        <f>'Techno Economic Parameters'!C34</f>
        <v>0</v>
      </c>
    </row>
    <row r="33" spans="2:5">
      <c r="B33" s="27" t="s">
        <v>130</v>
      </c>
      <c r="C33" s="27">
        <f>ROUNDDOWN(SUM(C6:C32),-2)</f>
        <v>1482500</v>
      </c>
    </row>
    <row r="35" spans="2:5">
      <c r="B35" s="27" t="s">
        <v>131</v>
      </c>
      <c r="E35" t="s">
        <v>273</v>
      </c>
    </row>
    <row r="36" spans="2:5">
      <c r="B36" t="s">
        <v>132</v>
      </c>
      <c r="C36">
        <f>C6*'Techno Economic Parameters'!C12%</f>
        <v>48000</v>
      </c>
    </row>
    <row r="37" spans="2:5">
      <c r="B37" s="3" t="s">
        <v>133</v>
      </c>
      <c r="C37">
        <f>'Techno Economic Parameters'!C9*'Techno Economic Parameters'!C13</f>
        <v>10000</v>
      </c>
    </row>
    <row r="38" spans="2:5">
      <c r="B38" t="s">
        <v>134</v>
      </c>
      <c r="C38">
        <f>'Techno Economic Parameters'!D9*'Techno Economic Parameters'!C66*'Techno Economic Parameters'!C68*90</f>
        <v>43200</v>
      </c>
    </row>
    <row r="39" spans="2:5">
      <c r="B39" t="s">
        <v>135</v>
      </c>
      <c r="C39">
        <f>'Techno Economic Parameters'!D9*'Techno Economic Parameters'!C69*'Techno Economic Parameters'!C70*90</f>
        <v>5400</v>
      </c>
    </row>
    <row r="40" spans="2:5">
      <c r="B40" t="s">
        <v>136</v>
      </c>
      <c r="C40">
        <f>'Techno Economic Parameters'!C71*'Techno Economic Parameters'!C72</f>
        <v>10000</v>
      </c>
    </row>
    <row r="41" spans="2:5">
      <c r="B41" t="s">
        <v>141</v>
      </c>
      <c r="C41">
        <f>((('Techno Economic Parameters'!C86*'Techno Economic Parameters'!C87)+('Techno Economic Parameters'!C88*'Techno Economic Parameters'!C89)+('Techno Economic Parameters'!C90*'Techno Economic Parameters'!C91)+('Techno Economic Parameters'!C92*'Techno Economic Parameters'!C93))*3)</f>
        <v>30000</v>
      </c>
    </row>
    <row r="42" spans="2:5">
      <c r="B42" t="s">
        <v>137</v>
      </c>
      <c r="C42">
        <f>'Techno Economic Parameters'!C74*'Techno Economic Parameters'!D9</f>
        <v>2500</v>
      </c>
    </row>
    <row r="43" spans="2:5">
      <c r="B43" t="s">
        <v>138</v>
      </c>
      <c r="C43">
        <f>'Techno Economic Parameters'!C75*3</f>
        <v>1500</v>
      </c>
    </row>
    <row r="44" spans="2:5">
      <c r="B44" t="s">
        <v>139</v>
      </c>
      <c r="C44">
        <f>'Techno Economic Parameters'!C76*3</f>
        <v>0</v>
      </c>
    </row>
    <row r="45" spans="2:5">
      <c r="B45" t="s">
        <v>140</v>
      </c>
      <c r="C45">
        <f>'Techno Economic Parameters'!C79*'Techno Economic Parameters'!D9</f>
        <v>500</v>
      </c>
    </row>
    <row r="46" spans="2:5">
      <c r="B46" t="s">
        <v>142</v>
      </c>
      <c r="C46">
        <f>(('Techno Economic Parameters'!C80)/12)*3</f>
        <v>0</v>
      </c>
    </row>
    <row r="47" spans="2:5">
      <c r="B47" t="s">
        <v>143</v>
      </c>
      <c r="C47">
        <f>(('Techno Economic Parameters'!C81)/12)*3</f>
        <v>0</v>
      </c>
    </row>
    <row r="48" spans="2:5">
      <c r="B48" t="s">
        <v>144</v>
      </c>
      <c r="C48">
        <f>(('Techno Economic Parameters'!C82)/12)*3</f>
        <v>0</v>
      </c>
    </row>
    <row r="49" spans="2:5">
      <c r="B49" t="s">
        <v>145</v>
      </c>
      <c r="C49">
        <f>(('Techno Economic Parameters'!C83)/12*3)</f>
        <v>0</v>
      </c>
    </row>
    <row r="51" spans="2:5">
      <c r="B51" s="27" t="s">
        <v>146</v>
      </c>
      <c r="C51" s="27">
        <f>ROUNDDOWN(SUM(C36:C50),-2)</f>
        <v>151100</v>
      </c>
    </row>
    <row r="52" spans="2:5">
      <c r="B52" s="27" t="s">
        <v>147</v>
      </c>
      <c r="C52" s="27">
        <f>ROUNDDOWN((C33+C51),-2)</f>
        <v>1633600</v>
      </c>
    </row>
    <row r="54" spans="2:5">
      <c r="B54" s="27" t="s">
        <v>10</v>
      </c>
    </row>
    <row r="55" spans="2:5">
      <c r="B55" s="1" t="s">
        <v>148</v>
      </c>
      <c r="C55">
        <f>C52-C56</f>
        <v>1551920</v>
      </c>
    </row>
    <row r="56" spans="2:5">
      <c r="B56" s="1" t="s">
        <v>149</v>
      </c>
      <c r="C56">
        <f>C52*'Techno Economic Parameters'!C52%</f>
        <v>81680</v>
      </c>
    </row>
    <row r="57" spans="2:5">
      <c r="B57" s="1" t="s">
        <v>150</v>
      </c>
      <c r="C57">
        <f>C55+C56</f>
        <v>1633600</v>
      </c>
      <c r="E57" t="s">
        <v>274</v>
      </c>
    </row>
    <row r="58" spans="2:5">
      <c r="B58" s="1" t="s">
        <v>151</v>
      </c>
      <c r="C58">
        <f>C52*'Techno Economic Parameters'!C55%</f>
        <v>571760</v>
      </c>
      <c r="E58" t="s">
        <v>275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I10"/>
  <sheetViews>
    <sheetView workbookViewId="0">
      <selection activeCell="D18" sqref="D18"/>
    </sheetView>
  </sheetViews>
  <sheetFormatPr defaultRowHeight="14.4"/>
  <cols>
    <col min="2" max="2" width="34.6640625" customWidth="1"/>
  </cols>
  <sheetData>
    <row r="2" spans="2:9">
      <c r="C2" s="25" t="s">
        <v>152</v>
      </c>
    </row>
    <row r="4" spans="2:9">
      <c r="C4" s="25" t="s">
        <v>153</v>
      </c>
    </row>
    <row r="6" spans="2:9">
      <c r="C6" s="1" t="s">
        <v>156</v>
      </c>
      <c r="D6" s="1" t="s">
        <v>157</v>
      </c>
      <c r="E6" s="1" t="s">
        <v>158</v>
      </c>
      <c r="F6" s="1" t="s">
        <v>159</v>
      </c>
      <c r="G6" s="1" t="s">
        <v>160</v>
      </c>
      <c r="H6" s="1" t="s">
        <v>161</v>
      </c>
      <c r="I6" s="1" t="s">
        <v>162</v>
      </c>
    </row>
    <row r="7" spans="2:9">
      <c r="B7" s="1" t="s">
        <v>155</v>
      </c>
      <c r="C7">
        <f>'Techno Economic Parameters'!$D$9*'Techno Economic Parameters'!$C$64*'Techno Economic Parameters'!$C$11</f>
        <v>18000</v>
      </c>
      <c r="D7">
        <f>'Techno Economic Parameters'!$D$9*'Techno Economic Parameters'!$C$64*'Techno Economic Parameters'!$C$11</f>
        <v>18000</v>
      </c>
      <c r="E7">
        <f>'Techno Economic Parameters'!$D$9*'Techno Economic Parameters'!$C$64*'Techno Economic Parameters'!$C$11</f>
        <v>18000</v>
      </c>
      <c r="F7">
        <f>'Techno Economic Parameters'!$D$9*'Techno Economic Parameters'!$C$64*'Techno Economic Parameters'!$C$11</f>
        <v>18000</v>
      </c>
      <c r="G7">
        <f>'Techno Economic Parameters'!$D$9*'Techno Economic Parameters'!$C$64*'Techno Economic Parameters'!$C$11</f>
        <v>18000</v>
      </c>
      <c r="H7">
        <f>'Techno Economic Parameters'!$D$9*'Techno Economic Parameters'!$C$64*'Techno Economic Parameters'!$C$11</f>
        <v>18000</v>
      </c>
      <c r="I7">
        <f>'Techno Economic Parameters'!$D$9*'Techno Economic Parameters'!$C$64*'Techno Economic Parameters'!$C$11</f>
        <v>18000</v>
      </c>
    </row>
    <row r="8" spans="2:9">
      <c r="B8" s="1" t="s">
        <v>154</v>
      </c>
      <c r="C8">
        <f>'Techno Economic Parameters'!D9*180*'Techno Economic Parameters'!C11</f>
        <v>10800</v>
      </c>
      <c r="D8">
        <f>'Techno Economic Parameters'!$C$64*'Techno Economic Parameters'!$F$9*'Techno Economic Parameters'!$C$11</f>
        <v>18000</v>
      </c>
      <c r="E8">
        <f>'Techno Economic Parameters'!$C$64*'Techno Economic Parameters'!$F$9*'Techno Economic Parameters'!$C$11</f>
        <v>18000</v>
      </c>
      <c r="F8">
        <f>'Techno Economic Parameters'!$C$64*'Techno Economic Parameters'!$F$9*'Techno Economic Parameters'!$C$11</f>
        <v>18000</v>
      </c>
      <c r="G8">
        <f>'Techno Economic Parameters'!$C$64*'Techno Economic Parameters'!$F$9*'Techno Economic Parameters'!$C$11</f>
        <v>18000</v>
      </c>
      <c r="H8">
        <f>'Techno Economic Parameters'!$C$64*'Techno Economic Parameters'!$F$9*'Techno Economic Parameters'!$C$11</f>
        <v>18000</v>
      </c>
      <c r="I8">
        <f>'Techno Economic Parameters'!$C$64*'Techno Economic Parameters'!$F$9*'Techno Economic Parameters'!$C$11</f>
        <v>18000</v>
      </c>
    </row>
    <row r="9" spans="2:9">
      <c r="B9" s="1"/>
    </row>
    <row r="10" spans="2:9">
      <c r="B10" s="1" t="s">
        <v>163</v>
      </c>
      <c r="C10" s="1">
        <f>SUM(C7:C9)</f>
        <v>28800</v>
      </c>
      <c r="D10" s="1">
        <f t="shared" ref="D10:I10" si="0">SUM(D7:D9)</f>
        <v>36000</v>
      </c>
      <c r="E10" s="1">
        <f t="shared" si="0"/>
        <v>36000</v>
      </c>
      <c r="F10" s="1">
        <f t="shared" si="0"/>
        <v>36000</v>
      </c>
      <c r="G10" s="1">
        <f t="shared" si="0"/>
        <v>36000</v>
      </c>
      <c r="H10" s="1">
        <f t="shared" si="0"/>
        <v>36000</v>
      </c>
      <c r="I10" s="1">
        <f t="shared" si="0"/>
        <v>36000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I41"/>
  <sheetViews>
    <sheetView topLeftCell="A10" workbookViewId="0">
      <selection activeCell="B26" sqref="B26"/>
    </sheetView>
  </sheetViews>
  <sheetFormatPr defaultRowHeight="14.4"/>
  <cols>
    <col min="2" max="2" width="29.88671875" customWidth="1"/>
    <col min="3" max="3" width="11.6640625" customWidth="1"/>
    <col min="4" max="4" width="10.21875" customWidth="1"/>
    <col min="5" max="5" width="11.21875" customWidth="1"/>
    <col min="6" max="6" width="10.33203125" customWidth="1"/>
    <col min="7" max="7" width="10.109375" customWidth="1"/>
    <col min="8" max="8" width="10.5546875" customWidth="1"/>
    <col min="9" max="9" width="10.6640625" customWidth="1"/>
  </cols>
  <sheetData>
    <row r="2" spans="2:9">
      <c r="C2" s="25" t="s">
        <v>164</v>
      </c>
    </row>
    <row r="4" spans="2:9">
      <c r="C4" s="1" t="s">
        <v>156</v>
      </c>
      <c r="D4" s="1" t="s">
        <v>157</v>
      </c>
      <c r="E4" s="1" t="s">
        <v>158</v>
      </c>
      <c r="F4" s="1" t="s">
        <v>159</v>
      </c>
      <c r="G4" s="1" t="s">
        <v>160</v>
      </c>
      <c r="H4" s="1" t="s">
        <v>161</v>
      </c>
      <c r="I4" s="1" t="s">
        <v>162</v>
      </c>
    </row>
    <row r="5" spans="2:9">
      <c r="B5" s="27" t="s">
        <v>165</v>
      </c>
    </row>
    <row r="6" spans="2:9">
      <c r="B6" t="s">
        <v>132</v>
      </c>
      <c r="C6">
        <f>(('Techno Economic Parameters'!$C$9*'Techno Economic Parameters'!$C$10)*'Techno Economic Parameters'!$C$12%)</f>
        <v>48000</v>
      </c>
      <c r="D6">
        <f>(('Techno Economic Parameters'!$C$9*'Techno Economic Parameters'!$C$10)*'Techno Economic Parameters'!$C$12%)</f>
        <v>48000</v>
      </c>
      <c r="E6">
        <f>(('Techno Economic Parameters'!$C$9*'Techno Economic Parameters'!$C$10)*'Techno Economic Parameters'!$C$12%)</f>
        <v>48000</v>
      </c>
      <c r="F6">
        <f>(('Techno Economic Parameters'!$C$9*'Techno Economic Parameters'!$C$10)*'Techno Economic Parameters'!$C$12%)</f>
        <v>48000</v>
      </c>
      <c r="G6">
        <f>(('Techno Economic Parameters'!$C$9*'Techno Economic Parameters'!$C$10)*'Techno Economic Parameters'!$C$12%)</f>
        <v>48000</v>
      </c>
      <c r="H6">
        <f>(('Techno Economic Parameters'!$C$9*'Techno Economic Parameters'!$C$10)*'Techno Economic Parameters'!$C$12%)</f>
        <v>48000</v>
      </c>
      <c r="I6">
        <f>(('Techno Economic Parameters'!$C$9*'Techno Economic Parameters'!$C$10)*'Techno Economic Parameters'!$C$12%)</f>
        <v>48000</v>
      </c>
    </row>
    <row r="7" spans="2:9">
      <c r="B7" t="s">
        <v>133</v>
      </c>
      <c r="C7">
        <f>'Techno Economic Parameters'!C9*'Techno Economic Parameters'!C13</f>
        <v>10000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2:9">
      <c r="B8" t="s">
        <v>134</v>
      </c>
      <c r="C8">
        <f>(('Techno Economic Parameters'!D9*'Techno Economic Parameters'!C64*'Techno Economic Parameters'!C66*'Techno Economic Parameters'!C68)+('Techno Economic Parameters'!F9*180*'Techno Economic Parameters'!C66*'Techno Economic Parameters'!C68)+('Techno Economic Parameters'!D9*'Techno Economic Parameters'!C65*'Techno Economic Parameters'!C68))</f>
        <v>238200</v>
      </c>
      <c r="D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E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F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G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H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I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</row>
    <row r="9" spans="2:9">
      <c r="B9" t="s">
        <v>135</v>
      </c>
      <c r="C9">
        <f>'Techno Economic Parameters'!$C$9*365*'Techno Economic Parameters'!$C$69*'Techno Economic Parameters'!$C$70</f>
        <v>43800</v>
      </c>
      <c r="D9">
        <f>'Techno Economic Parameters'!$C$9*365*'Techno Economic Parameters'!$C$69*'Techno Economic Parameters'!$C$70</f>
        <v>43800</v>
      </c>
      <c r="E9">
        <f>'Techno Economic Parameters'!$C$9*365*'Techno Economic Parameters'!$C$69*'Techno Economic Parameters'!$C$70</f>
        <v>43800</v>
      </c>
      <c r="F9">
        <f>'Techno Economic Parameters'!$C$9*365*'Techno Economic Parameters'!$C$69*'Techno Economic Parameters'!$C$70</f>
        <v>43800</v>
      </c>
      <c r="G9">
        <f>'Techno Economic Parameters'!$C$9*365*'Techno Economic Parameters'!$C$69*'Techno Economic Parameters'!$C$70</f>
        <v>43800</v>
      </c>
      <c r="H9">
        <f>'Techno Economic Parameters'!$C$9*365*'Techno Economic Parameters'!$C$69*'Techno Economic Parameters'!$C$70</f>
        <v>43800</v>
      </c>
      <c r="I9">
        <f>'Techno Economic Parameters'!$C$9*365*'Techno Economic Parameters'!$C$69*'Techno Economic Parameters'!$C$70</f>
        <v>43800</v>
      </c>
    </row>
    <row r="10" spans="2:9">
      <c r="B10" t="s">
        <v>136</v>
      </c>
      <c r="C10">
        <f>'Techno Economic Parameters'!C71*'Techno Economic Parameters'!C72</f>
        <v>10000</v>
      </c>
      <c r="D10">
        <f>'Techno Economic Parameters'!$C$71*'Techno Economic Parameters'!$C$73</f>
        <v>6000</v>
      </c>
      <c r="E10">
        <f>'Techno Economic Parameters'!$C$71*'Techno Economic Parameters'!$C$73</f>
        <v>6000</v>
      </c>
      <c r="F10">
        <f>'Techno Economic Parameters'!$C$71*'Techno Economic Parameters'!$C$73</f>
        <v>6000</v>
      </c>
      <c r="G10">
        <f>'Techno Economic Parameters'!$C$71*'Techno Economic Parameters'!$C$73</f>
        <v>6000</v>
      </c>
      <c r="H10">
        <f>'Techno Economic Parameters'!$C$71*'Techno Economic Parameters'!$C$73</f>
        <v>6000</v>
      </c>
      <c r="I10">
        <f>'Techno Economic Parameters'!$C$71*'Techno Economic Parameters'!$C$73</f>
        <v>6000</v>
      </c>
    </row>
    <row r="11" spans="2:9">
      <c r="B11" t="s">
        <v>141</v>
      </c>
      <c r="C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D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E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F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G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H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I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</row>
    <row r="12" spans="2:9">
      <c r="B12" t="s">
        <v>137</v>
      </c>
      <c r="C12">
        <f>'Techno Economic Parameters'!$C$74*'Techno Economic Parameters'!$C$9</f>
        <v>5000</v>
      </c>
      <c r="D12">
        <f>'Techno Economic Parameters'!$C$74*'Techno Economic Parameters'!$C$9</f>
        <v>5000</v>
      </c>
      <c r="E12">
        <f>'Techno Economic Parameters'!$C$74*'Techno Economic Parameters'!$C$9</f>
        <v>5000</v>
      </c>
      <c r="F12">
        <f>'Techno Economic Parameters'!$C$74*'Techno Economic Parameters'!$C$9</f>
        <v>5000</v>
      </c>
      <c r="G12">
        <f>'Techno Economic Parameters'!$C$74*'Techno Economic Parameters'!$C$9</f>
        <v>5000</v>
      </c>
      <c r="H12">
        <f>'Techno Economic Parameters'!$C$74*'Techno Economic Parameters'!$C$9</f>
        <v>5000</v>
      </c>
      <c r="I12">
        <f>'Techno Economic Parameters'!$C$74*'Techno Economic Parameters'!$C$9</f>
        <v>5000</v>
      </c>
    </row>
    <row r="13" spans="2:9">
      <c r="B13" t="s">
        <v>138</v>
      </c>
      <c r="C13">
        <f>'Techno Economic Parameters'!$C$75*12</f>
        <v>6000</v>
      </c>
      <c r="D13">
        <f>'Techno Economic Parameters'!$C$75*12</f>
        <v>6000</v>
      </c>
      <c r="E13">
        <f>'Techno Economic Parameters'!$C$75*12</f>
        <v>6000</v>
      </c>
      <c r="F13">
        <f>'Techno Economic Parameters'!$C$75*12</f>
        <v>6000</v>
      </c>
      <c r="G13">
        <f>'Techno Economic Parameters'!$C$75*12</f>
        <v>6000</v>
      </c>
      <c r="H13">
        <f>'Techno Economic Parameters'!$C$75*12</f>
        <v>6000</v>
      </c>
      <c r="I13">
        <f>'Techno Economic Parameters'!$C$75*12</f>
        <v>6000</v>
      </c>
    </row>
    <row r="14" spans="2:9">
      <c r="B14" t="s">
        <v>139</v>
      </c>
      <c r="C14">
        <f>'Techno Economic Parameters'!$C$76*12</f>
        <v>0</v>
      </c>
      <c r="D14">
        <f>'Techno Economic Parameters'!$C$76*12</f>
        <v>0</v>
      </c>
      <c r="E14">
        <f>'Techno Economic Parameters'!$C$76*12</f>
        <v>0</v>
      </c>
      <c r="F14">
        <f>'Techno Economic Parameters'!$C$76*12</f>
        <v>0</v>
      </c>
      <c r="G14">
        <f>'Techno Economic Parameters'!$C$76*12</f>
        <v>0</v>
      </c>
      <c r="H14">
        <f>'Techno Economic Parameters'!$C$76*12</f>
        <v>0</v>
      </c>
      <c r="I14">
        <f>'Techno Economic Parameters'!$C$76*12</f>
        <v>0</v>
      </c>
    </row>
    <row r="15" spans="2:9">
      <c r="B15" t="s">
        <v>140</v>
      </c>
      <c r="C15">
        <f>'Techno Economic Parameters'!$C$79*'Techno Economic Parameters'!$C$9</f>
        <v>1000</v>
      </c>
      <c r="D15">
        <f>'Techno Economic Parameters'!$C$79*'Techno Economic Parameters'!$C$9</f>
        <v>1000</v>
      </c>
      <c r="E15">
        <f>'Techno Economic Parameters'!$C$79*'Techno Economic Parameters'!$C$9</f>
        <v>1000</v>
      </c>
      <c r="F15">
        <f>'Techno Economic Parameters'!$C$79*'Techno Economic Parameters'!$C$9</f>
        <v>1000</v>
      </c>
      <c r="G15">
        <f>'Techno Economic Parameters'!$C$79*'Techno Economic Parameters'!$C$9</f>
        <v>1000</v>
      </c>
      <c r="H15">
        <f>'Techno Economic Parameters'!$C$79*'Techno Economic Parameters'!$C$9</f>
        <v>1000</v>
      </c>
      <c r="I15">
        <f>'Techno Economic Parameters'!$C$79*'Techno Economic Parameters'!$C$9</f>
        <v>1000</v>
      </c>
    </row>
    <row r="16" spans="2:9">
      <c r="B16" t="s">
        <v>142</v>
      </c>
      <c r="C16">
        <f>'Techno Economic Parameters'!$C$80</f>
        <v>0</v>
      </c>
      <c r="D16">
        <f>'Techno Economic Parameters'!$C$80</f>
        <v>0</v>
      </c>
      <c r="E16">
        <f>'Techno Economic Parameters'!$C$80</f>
        <v>0</v>
      </c>
      <c r="F16">
        <f>'Techno Economic Parameters'!$C$80</f>
        <v>0</v>
      </c>
      <c r="G16">
        <f>'Techno Economic Parameters'!$C$80</f>
        <v>0</v>
      </c>
      <c r="H16">
        <f>'Techno Economic Parameters'!$C$80</f>
        <v>0</v>
      </c>
      <c r="I16">
        <f>'Techno Economic Parameters'!$C$80</f>
        <v>0</v>
      </c>
    </row>
    <row r="17" spans="2:9">
      <c r="B17" t="s">
        <v>143</v>
      </c>
      <c r="C17">
        <f>'Techno Economic Parameters'!$C$81</f>
        <v>0</v>
      </c>
      <c r="D17">
        <f>'Techno Economic Parameters'!$C$81</f>
        <v>0</v>
      </c>
      <c r="E17">
        <f>'Techno Economic Parameters'!$C$81</f>
        <v>0</v>
      </c>
      <c r="F17">
        <f>'Techno Economic Parameters'!$C$81</f>
        <v>0</v>
      </c>
      <c r="G17">
        <f>'Techno Economic Parameters'!$C$81</f>
        <v>0</v>
      </c>
      <c r="H17">
        <f>'Techno Economic Parameters'!$C$81</f>
        <v>0</v>
      </c>
      <c r="I17">
        <f>'Techno Economic Parameters'!$C$81</f>
        <v>0</v>
      </c>
    </row>
    <row r="18" spans="2:9">
      <c r="B18" t="s">
        <v>144</v>
      </c>
      <c r="C18">
        <f>'Techno Economic Parameters'!$C$82</f>
        <v>0</v>
      </c>
      <c r="D18">
        <f>'Techno Economic Parameters'!$C$82</f>
        <v>0</v>
      </c>
      <c r="E18">
        <f>'Techno Economic Parameters'!$C$82</f>
        <v>0</v>
      </c>
      <c r="F18">
        <f>'Techno Economic Parameters'!$C$82</f>
        <v>0</v>
      </c>
      <c r="G18">
        <f>'Techno Economic Parameters'!$C$82</f>
        <v>0</v>
      </c>
      <c r="H18">
        <f>'Techno Economic Parameters'!$C$82</f>
        <v>0</v>
      </c>
      <c r="I18">
        <f>'Techno Economic Parameters'!$C$82</f>
        <v>0</v>
      </c>
    </row>
    <row r="19" spans="2:9">
      <c r="B19" t="s">
        <v>145</v>
      </c>
      <c r="C19">
        <f>'Techno Economic Parameters'!$C$83</f>
        <v>0</v>
      </c>
      <c r="D19">
        <f>'Techno Economic Parameters'!$C$83</f>
        <v>0</v>
      </c>
      <c r="E19">
        <f>'Techno Economic Parameters'!$C$83</f>
        <v>0</v>
      </c>
      <c r="F19">
        <f>'Techno Economic Parameters'!$C$83</f>
        <v>0</v>
      </c>
      <c r="G19">
        <f>'Techno Economic Parameters'!$C$83</f>
        <v>0</v>
      </c>
      <c r="H19">
        <f>'Techno Economic Parameters'!$C$83</f>
        <v>0</v>
      </c>
      <c r="I19">
        <f>'Techno Economic Parameters'!$C$83</f>
        <v>0</v>
      </c>
    </row>
    <row r="20" spans="2:9">
      <c r="B20" s="16" t="s">
        <v>176</v>
      </c>
      <c r="C20" s="5">
        <f>SUM(Repayment!E11:E22)</f>
        <v>174198.28</v>
      </c>
      <c r="D20" s="5">
        <f>SUM(Repayment!E23:E34)</f>
        <v>156828.02000000002</v>
      </c>
      <c r="E20" s="5">
        <f>SUM(Repayment!E35:E46)</f>
        <v>136583.06999999998</v>
      </c>
      <c r="F20" s="5">
        <f>SUM(Repayment!E47:E58)</f>
        <v>113883.21</v>
      </c>
      <c r="G20" s="5">
        <f>SUM(Repayment!E59:E70)</f>
        <v>88430.780000000013</v>
      </c>
      <c r="H20" s="5">
        <f>SUM(Repayment!E71:E82)</f>
        <v>59891.99</v>
      </c>
      <c r="I20" s="5">
        <f>SUM(Repayment!E83:E94)</f>
        <v>27892.639999999996</v>
      </c>
    </row>
    <row r="21" spans="2:9" s="3" customFormat="1">
      <c r="B21" s="3" t="s">
        <v>180</v>
      </c>
      <c r="C21" s="14">
        <f>Depreciation!C4</f>
        <v>57750</v>
      </c>
      <c r="D21" s="14">
        <f>Depreciation!C5</f>
        <v>51975</v>
      </c>
      <c r="E21" s="14">
        <f>Depreciation!C6</f>
        <v>46777.5</v>
      </c>
      <c r="F21" s="14">
        <f>Depreciation!C7</f>
        <v>42099.75</v>
      </c>
      <c r="G21" s="14">
        <f>Depreciation!C8</f>
        <v>37889.775000000001</v>
      </c>
      <c r="H21" s="14">
        <f>Depreciation!C9</f>
        <v>34100.797500000001</v>
      </c>
      <c r="I21" s="14">
        <f>Depreciation!C10</f>
        <v>30690.71775</v>
      </c>
    </row>
    <row r="22" spans="2:9">
      <c r="B22" t="s">
        <v>181</v>
      </c>
      <c r="C22" s="5">
        <f>Depreciation!F4</f>
        <v>15750</v>
      </c>
      <c r="D22" s="5">
        <f>Depreciation!F5</f>
        <v>13387.5</v>
      </c>
      <c r="E22" s="5">
        <f>Depreciation!F6</f>
        <v>11379.375</v>
      </c>
      <c r="F22" s="5">
        <f>Depreciation!F7</f>
        <v>9672.46875</v>
      </c>
      <c r="G22" s="5">
        <f>Depreciation!F8</f>
        <v>8221.5984374999989</v>
      </c>
      <c r="H22" s="5">
        <f>Depreciation!F9</f>
        <v>6988.3586718750003</v>
      </c>
      <c r="I22" s="5">
        <f>Depreciation!F10</f>
        <v>5940.1048710937503</v>
      </c>
    </row>
    <row r="24" spans="2:9">
      <c r="B24" s="1" t="s">
        <v>166</v>
      </c>
      <c r="C24" s="15">
        <f t="shared" ref="C24:I24" si="0">SUM(C6:C20)</f>
        <v>656198.28</v>
      </c>
      <c r="D24" s="15">
        <f t="shared" si="0"/>
        <v>675108.02</v>
      </c>
      <c r="E24" s="15">
        <f t="shared" si="0"/>
        <v>654863.06999999995</v>
      </c>
      <c r="F24" s="15">
        <f t="shared" si="0"/>
        <v>632163.21</v>
      </c>
      <c r="G24" s="15">
        <f t="shared" si="0"/>
        <v>606710.78</v>
      </c>
      <c r="H24" s="15">
        <f t="shared" si="0"/>
        <v>578171.99</v>
      </c>
      <c r="I24" s="15">
        <f t="shared" si="0"/>
        <v>546172.64</v>
      </c>
    </row>
    <row r="25" spans="2:9">
      <c r="B25" s="1"/>
      <c r="C25" s="1"/>
      <c r="D25" s="1"/>
      <c r="E25" s="1"/>
      <c r="F25" s="1"/>
      <c r="G25" s="1"/>
      <c r="H25" s="1"/>
      <c r="I25" s="1"/>
    </row>
    <row r="26" spans="2:9">
      <c r="B26" s="27" t="s">
        <v>167</v>
      </c>
    </row>
    <row r="27" spans="2:9">
      <c r="B27" t="s">
        <v>170</v>
      </c>
      <c r="C27">
        <f>'Production Chart'!C10*'Techno Economic Parameters'!C96</f>
        <v>1065600</v>
      </c>
      <c r="D27">
        <f>'Production Chart'!$D$10*'Techno Economic Parameters'!$C$96</f>
        <v>1332000</v>
      </c>
      <c r="E27">
        <f>'Production Chart'!$D$10*'Techno Economic Parameters'!$C$96</f>
        <v>1332000</v>
      </c>
      <c r="F27">
        <f>'Production Chart'!$D$10*'Techno Economic Parameters'!$C$96</f>
        <v>1332000</v>
      </c>
      <c r="G27">
        <f>'Production Chart'!$D$10*'Techno Economic Parameters'!$C$96</f>
        <v>1332000</v>
      </c>
      <c r="H27">
        <f>'Production Chart'!$D$10*'Techno Economic Parameters'!$C$96</f>
        <v>1332000</v>
      </c>
      <c r="I27">
        <f>'Production Chart'!$D$10*'Techno Economic Parameters'!$C$96</f>
        <v>1332000</v>
      </c>
    </row>
    <row r="28" spans="2:9">
      <c r="B28" t="s">
        <v>171</v>
      </c>
      <c r="C28">
        <f>(('Techno Economic Parameters'!$C$9/2)*'Techno Economic Parameters'!$C$97)</f>
        <v>10000</v>
      </c>
      <c r="D28">
        <f>(('Techno Economic Parameters'!$C$9/2)*'Techno Economic Parameters'!$C$97)</f>
        <v>10000</v>
      </c>
      <c r="E28">
        <f>(('Techno Economic Parameters'!$C$9/2)*'Techno Economic Parameters'!$C$97)</f>
        <v>10000</v>
      </c>
      <c r="F28">
        <f>(('Techno Economic Parameters'!$C$9/2)*'Techno Economic Parameters'!$C$97)</f>
        <v>10000</v>
      </c>
      <c r="G28">
        <f>(('Techno Economic Parameters'!$C$9/2)*'Techno Economic Parameters'!$C$97)</f>
        <v>10000</v>
      </c>
      <c r="H28">
        <f>(('Techno Economic Parameters'!$C$9/2)*'Techno Economic Parameters'!$C$97)</f>
        <v>10000</v>
      </c>
      <c r="I28">
        <f>(('Techno Economic Parameters'!$C$9/2)*'Techno Economic Parameters'!$C$97)</f>
        <v>10000</v>
      </c>
    </row>
    <row r="29" spans="2:9">
      <c r="B29" t="s">
        <v>172</v>
      </c>
      <c r="C29">
        <f>(('Techno Economic Parameters'!$C$9/2)*('Techno Economic Parameters'!$C$98))</f>
        <v>25000</v>
      </c>
      <c r="D29">
        <f>(('Techno Economic Parameters'!$C$9/2)*('Techno Economic Parameters'!$C$98))</f>
        <v>25000</v>
      </c>
      <c r="E29">
        <f>(('Techno Economic Parameters'!$C$9/2)*('Techno Economic Parameters'!$C$98))</f>
        <v>25000</v>
      </c>
      <c r="F29">
        <f>(('Techno Economic Parameters'!$C$9/2)*('Techno Economic Parameters'!$C$98))</f>
        <v>25000</v>
      </c>
      <c r="G29">
        <f>(('Techno Economic Parameters'!$C$9/2)*('Techno Economic Parameters'!$C$98))</f>
        <v>25000</v>
      </c>
      <c r="H29">
        <f>(('Techno Economic Parameters'!$C$9/2)*('Techno Economic Parameters'!$C$98))</f>
        <v>25000</v>
      </c>
      <c r="I29">
        <f>(('Techno Economic Parameters'!$C$9/2)*('Techno Economic Parameters'!$C$98))</f>
        <v>25000</v>
      </c>
    </row>
    <row r="30" spans="2:9">
      <c r="B30" t="s">
        <v>177</v>
      </c>
      <c r="C30">
        <f>'Techno Economic Parameters'!$C$99*'Techno Economic Parameters'!$C$9</f>
        <v>5000</v>
      </c>
      <c r="D30">
        <f>'Techno Economic Parameters'!$C$99*'Techno Economic Parameters'!$C$9</f>
        <v>5000</v>
      </c>
      <c r="E30">
        <f>'Techno Economic Parameters'!$C$99*'Techno Economic Parameters'!$C$9</f>
        <v>5000</v>
      </c>
      <c r="F30">
        <f>'Techno Economic Parameters'!$C$99*'Techno Economic Parameters'!$C$9</f>
        <v>5000</v>
      </c>
      <c r="G30">
        <f>'Techno Economic Parameters'!$C$99*'Techno Economic Parameters'!$C$9</f>
        <v>5000</v>
      </c>
      <c r="H30">
        <f>'Techno Economic Parameters'!$C$99*'Techno Economic Parameters'!$C$9</f>
        <v>5000</v>
      </c>
      <c r="I30">
        <f>'Techno Economic Parameters'!$C$99*'Techno Economic Parameters'!$C$9</f>
        <v>5000</v>
      </c>
    </row>
    <row r="31" spans="2:9">
      <c r="B31" t="s">
        <v>173</v>
      </c>
      <c r="C31">
        <f>'Techno Economic Parameters'!$C$101</f>
        <v>0</v>
      </c>
      <c r="D31">
        <f>'Techno Economic Parameters'!$C$101</f>
        <v>0</v>
      </c>
      <c r="E31">
        <f>'Techno Economic Parameters'!$C$101</f>
        <v>0</v>
      </c>
      <c r="F31">
        <f>'Techno Economic Parameters'!$C$101</f>
        <v>0</v>
      </c>
      <c r="G31">
        <f>'Techno Economic Parameters'!$C$101</f>
        <v>0</v>
      </c>
      <c r="H31">
        <f>'Techno Economic Parameters'!$C$101</f>
        <v>0</v>
      </c>
      <c r="I31">
        <f>'Techno Economic Parameters'!$C$101</f>
        <v>0</v>
      </c>
    </row>
    <row r="32" spans="2:9">
      <c r="B32" t="s">
        <v>174</v>
      </c>
      <c r="C32">
        <f>'Techno Economic Parameters'!$C$103</f>
        <v>0</v>
      </c>
      <c r="D32">
        <f>'Techno Economic Parameters'!$C$103</f>
        <v>0</v>
      </c>
      <c r="E32">
        <f>'Techno Economic Parameters'!$C$103</f>
        <v>0</v>
      </c>
      <c r="F32">
        <f>'Techno Economic Parameters'!$C$103</f>
        <v>0</v>
      </c>
      <c r="G32">
        <f>'Techno Economic Parameters'!$C$103</f>
        <v>0</v>
      </c>
      <c r="H32">
        <f>'Techno Economic Parameters'!$C$103</f>
        <v>0</v>
      </c>
      <c r="I32">
        <f>'Techno Economic Parameters'!$C$103</f>
        <v>0</v>
      </c>
    </row>
    <row r="33" spans="2:9">
      <c r="B33" t="s">
        <v>178</v>
      </c>
      <c r="C33">
        <f>'Techno Economic Parameters'!$C$102</f>
        <v>0</v>
      </c>
      <c r="D33">
        <f>'Techno Economic Parameters'!$C$102</f>
        <v>0</v>
      </c>
      <c r="E33">
        <f>'Techno Economic Parameters'!$C$102</f>
        <v>0</v>
      </c>
      <c r="F33">
        <f>'Techno Economic Parameters'!$C$102</f>
        <v>0</v>
      </c>
      <c r="G33">
        <f>'Techno Economic Parameters'!$C$102</f>
        <v>0</v>
      </c>
      <c r="H33">
        <f>'Techno Economic Parameters'!$C$102</f>
        <v>0</v>
      </c>
      <c r="I33">
        <f>'Techno Economic Parameters'!$C$102</f>
        <v>0</v>
      </c>
    </row>
    <row r="34" spans="2:9" s="1" customFormat="1"/>
    <row r="35" spans="2:9">
      <c r="B35" s="1" t="s">
        <v>175</v>
      </c>
      <c r="C35" s="1">
        <f>SUM(C27:C34)</f>
        <v>1105600</v>
      </c>
      <c r="D35" s="1">
        <f t="shared" ref="D35:I35" si="1">SUM(D27:D34)</f>
        <v>1372000</v>
      </c>
      <c r="E35" s="1">
        <f t="shared" si="1"/>
        <v>1372000</v>
      </c>
      <c r="F35" s="1">
        <f t="shared" si="1"/>
        <v>1372000</v>
      </c>
      <c r="G35" s="1">
        <f t="shared" si="1"/>
        <v>1372000</v>
      </c>
      <c r="H35" s="1">
        <f t="shared" si="1"/>
        <v>1372000</v>
      </c>
      <c r="I35" s="1">
        <f t="shared" si="1"/>
        <v>1372000</v>
      </c>
    </row>
    <row r="37" spans="2:9" s="1" customFormat="1">
      <c r="B37" s="1" t="s">
        <v>179</v>
      </c>
      <c r="C37" s="15">
        <f t="shared" ref="C37:I37" si="2">C35-C24</f>
        <v>449401.72</v>
      </c>
      <c r="D37" s="15">
        <f t="shared" si="2"/>
        <v>696891.98</v>
      </c>
      <c r="E37" s="15">
        <f t="shared" si="2"/>
        <v>717136.93</v>
      </c>
      <c r="F37" s="15">
        <f t="shared" si="2"/>
        <v>739836.79</v>
      </c>
      <c r="G37" s="15">
        <f t="shared" si="2"/>
        <v>765289.22</v>
      </c>
      <c r="H37" s="15">
        <f t="shared" si="2"/>
        <v>793828.01</v>
      </c>
      <c r="I37" s="15">
        <f t="shared" si="2"/>
        <v>825827.36</v>
      </c>
    </row>
    <row r="39" spans="2:9">
      <c r="B39" s="1"/>
    </row>
    <row r="41" spans="2:9" s="3" customFormat="1"/>
  </sheetData>
  <pageMargins left="0.7" right="0.7" top="0.75" bottom="0.75" header="0.3" footer="0.3"/>
  <pageSetup orientation="portrait" verticalDpi="0" r:id="rId1"/>
  <ignoredErrors>
    <ignoredError sqref="E2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2:I15"/>
  <sheetViews>
    <sheetView workbookViewId="0">
      <selection activeCell="B20" sqref="B20"/>
    </sheetView>
  </sheetViews>
  <sheetFormatPr defaultRowHeight="14.4"/>
  <cols>
    <col min="2" max="2" width="32" customWidth="1"/>
  </cols>
  <sheetData>
    <row r="2" spans="2:9">
      <c r="C2" s="25" t="s">
        <v>182</v>
      </c>
    </row>
    <row r="4" spans="2:9">
      <c r="C4" s="1" t="s">
        <v>156</v>
      </c>
      <c r="D4" s="1" t="s">
        <v>157</v>
      </c>
      <c r="E4" s="1" t="s">
        <v>158</v>
      </c>
      <c r="F4" s="1" t="s">
        <v>159</v>
      </c>
      <c r="G4" s="1" t="s">
        <v>160</v>
      </c>
      <c r="H4" s="1" t="s">
        <v>161</v>
      </c>
      <c r="I4" s="1" t="s">
        <v>162</v>
      </c>
    </row>
    <row r="5" spans="2:9">
      <c r="B5" t="s">
        <v>183</v>
      </c>
      <c r="C5" s="5">
        <f>'Expenditure Income '!C24</f>
        <v>656198.28</v>
      </c>
      <c r="D5" s="5">
        <f>'Expenditure Income '!D24</f>
        <v>675108.02</v>
      </c>
      <c r="E5" s="5">
        <f>'Expenditure Income '!E24</f>
        <v>654863.06999999995</v>
      </c>
      <c r="F5" s="5">
        <f>'Expenditure Income '!F24</f>
        <v>632163.21</v>
      </c>
      <c r="G5" s="5">
        <f>'Expenditure Income '!G24</f>
        <v>606710.78</v>
      </c>
      <c r="H5" s="5">
        <f>'Expenditure Income '!H24</f>
        <v>578171.99</v>
      </c>
      <c r="I5" s="5">
        <f>'Expenditure Income '!I24</f>
        <v>546172.64</v>
      </c>
    </row>
    <row r="6" spans="2:9">
      <c r="B6" t="s">
        <v>184</v>
      </c>
      <c r="C6" s="5">
        <f>'Expenditure Income '!C35</f>
        <v>1105600</v>
      </c>
      <c r="D6" s="5">
        <f>'Expenditure Income '!D35</f>
        <v>1372000</v>
      </c>
      <c r="E6" s="5">
        <f>'Expenditure Income '!E35</f>
        <v>1372000</v>
      </c>
      <c r="F6" s="5">
        <f>'Expenditure Income '!F35</f>
        <v>1372000</v>
      </c>
      <c r="G6" s="5">
        <f>'Expenditure Income '!G35</f>
        <v>1372000</v>
      </c>
      <c r="H6" s="5">
        <f>'Expenditure Income '!H35</f>
        <v>1372000</v>
      </c>
      <c r="I6" s="5">
        <f>'Expenditure Income '!I35</f>
        <v>1372000</v>
      </c>
    </row>
    <row r="7" spans="2:9" s="3" customFormat="1">
      <c r="B7" s="3" t="s">
        <v>186</v>
      </c>
      <c r="C7" s="14">
        <f>C6-C5</f>
        <v>449401.72</v>
      </c>
      <c r="D7" s="14">
        <f t="shared" ref="D7:I7" si="0">D6-D5</f>
        <v>696891.98</v>
      </c>
      <c r="E7" s="14">
        <f t="shared" si="0"/>
        <v>717136.93</v>
      </c>
      <c r="F7" s="14">
        <f t="shared" si="0"/>
        <v>739836.79</v>
      </c>
      <c r="G7" s="14">
        <f t="shared" si="0"/>
        <v>765289.22</v>
      </c>
      <c r="H7" s="14">
        <f t="shared" si="0"/>
        <v>793828.01</v>
      </c>
      <c r="I7" s="14">
        <f t="shared" si="0"/>
        <v>825827.36</v>
      </c>
    </row>
    <row r="8" spans="2:9" s="1" customFormat="1">
      <c r="C8" s="15"/>
      <c r="D8" s="15"/>
      <c r="E8" s="15"/>
      <c r="F8" s="15"/>
      <c r="G8" s="15"/>
      <c r="H8" s="15"/>
      <c r="I8" s="15"/>
    </row>
    <row r="9" spans="2:9" s="1" customFormat="1">
      <c r="C9" s="15"/>
      <c r="D9" s="15"/>
      <c r="E9" s="15"/>
      <c r="F9" s="15"/>
      <c r="G9" s="15"/>
      <c r="H9" s="15"/>
      <c r="I9" s="15"/>
    </row>
    <row r="10" spans="2:9">
      <c r="B10" t="s">
        <v>176</v>
      </c>
      <c r="C10" s="5">
        <f>'Expenditure Income '!C20</f>
        <v>174198.28</v>
      </c>
      <c r="D10" s="5">
        <f>'Expenditure Income '!D20</f>
        <v>156828.02000000002</v>
      </c>
      <c r="E10" s="5">
        <f>'Expenditure Income '!E20</f>
        <v>136583.06999999998</v>
      </c>
      <c r="F10" s="5">
        <f>'Expenditure Income '!F20</f>
        <v>113883.21</v>
      </c>
      <c r="G10" s="5">
        <f>'Expenditure Income '!G20</f>
        <v>88430.780000000013</v>
      </c>
      <c r="H10" s="5">
        <f>'Expenditure Income '!H20</f>
        <v>59891.99</v>
      </c>
      <c r="I10" s="5">
        <f>'Expenditure Income '!I20</f>
        <v>27892.639999999996</v>
      </c>
    </row>
    <row r="11" spans="2:9">
      <c r="B11" t="s">
        <v>185</v>
      </c>
      <c r="C11" s="5">
        <f>'Expenditure Income '!C21+'Expenditure Income '!C22</f>
        <v>73500</v>
      </c>
      <c r="D11" s="5">
        <f>'Expenditure Income '!D21+'Expenditure Income '!D22</f>
        <v>65362.5</v>
      </c>
      <c r="E11" s="5">
        <f>'Expenditure Income '!E21+'Expenditure Income '!E22</f>
        <v>58156.875</v>
      </c>
      <c r="F11" s="5">
        <f>'Expenditure Income '!F21+'Expenditure Income '!F22</f>
        <v>51772.21875</v>
      </c>
      <c r="G11" s="5">
        <f>'Expenditure Income '!G21+'Expenditure Income '!G22</f>
        <v>46111.373437499999</v>
      </c>
      <c r="H11" s="5">
        <f>'Expenditure Income '!H21+'Expenditure Income '!H22</f>
        <v>41089.156171875002</v>
      </c>
      <c r="I11" s="5">
        <f>'Expenditure Income '!I21+'Expenditure Income '!I22</f>
        <v>36630.82262109375</v>
      </c>
    </row>
    <row r="12" spans="2:9">
      <c r="B12" t="s">
        <v>188</v>
      </c>
      <c r="C12" s="5">
        <f>SUM(C10:C11)</f>
        <v>247698.28</v>
      </c>
      <c r="D12" s="5">
        <f t="shared" ref="D12:I12" si="1">SUM(D10:D11)</f>
        <v>222190.52000000002</v>
      </c>
      <c r="E12" s="5">
        <f t="shared" si="1"/>
        <v>194739.94499999998</v>
      </c>
      <c r="F12" s="5">
        <f t="shared" si="1"/>
        <v>165655.42875000002</v>
      </c>
      <c r="G12" s="5">
        <f t="shared" si="1"/>
        <v>134542.1534375</v>
      </c>
      <c r="H12" s="5">
        <f t="shared" si="1"/>
        <v>100981.14617187501</v>
      </c>
      <c r="I12" s="5">
        <f t="shared" si="1"/>
        <v>64523.462621093742</v>
      </c>
    </row>
    <row r="13" spans="2:9">
      <c r="C13" s="5"/>
      <c r="D13" s="5"/>
      <c r="E13" s="5"/>
      <c r="F13" s="5"/>
      <c r="G13" s="5"/>
      <c r="H13" s="5"/>
      <c r="I13" s="5"/>
    </row>
    <row r="14" spans="2:9">
      <c r="B14" t="s">
        <v>216</v>
      </c>
      <c r="C14" s="5">
        <f>C5-C12</f>
        <v>408500</v>
      </c>
      <c r="D14" s="5">
        <f t="shared" ref="D14:I14" si="2">D5-D12</f>
        <v>452917.5</v>
      </c>
      <c r="E14" s="5">
        <f t="shared" si="2"/>
        <v>460123.125</v>
      </c>
      <c r="F14" s="5">
        <f t="shared" si="2"/>
        <v>466507.78124999994</v>
      </c>
      <c r="G14" s="5">
        <f t="shared" si="2"/>
        <v>472168.62656250002</v>
      </c>
      <c r="H14" s="5">
        <f t="shared" si="2"/>
        <v>477190.84382812498</v>
      </c>
      <c r="I14" s="5">
        <f t="shared" si="2"/>
        <v>481649.17737890629</v>
      </c>
    </row>
    <row r="15" spans="2:9" s="1" customFormat="1">
      <c r="B15" s="1" t="s">
        <v>187</v>
      </c>
      <c r="C15" s="15">
        <f>C6-(C5-C12)</f>
        <v>697100</v>
      </c>
      <c r="D15" s="15">
        <f t="shared" ref="D15:I15" si="3">D6-(D5-D12)</f>
        <v>919082.5</v>
      </c>
      <c r="E15" s="15">
        <f t="shared" si="3"/>
        <v>911876.875</v>
      </c>
      <c r="F15" s="15">
        <f t="shared" si="3"/>
        <v>905492.21875</v>
      </c>
      <c r="G15" s="15">
        <f t="shared" si="3"/>
        <v>899831.37343749998</v>
      </c>
      <c r="H15" s="15">
        <f t="shared" si="3"/>
        <v>894809.15617187507</v>
      </c>
      <c r="I15" s="15">
        <f t="shared" si="3"/>
        <v>890350.82262109371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M94"/>
  <sheetViews>
    <sheetView workbookViewId="0">
      <selection activeCell="I12" sqref="I12"/>
    </sheetView>
  </sheetViews>
  <sheetFormatPr defaultRowHeight="14.4"/>
  <cols>
    <col min="3" max="3" width="26.77734375" customWidth="1"/>
    <col min="4" max="4" width="16.88671875" customWidth="1"/>
    <col min="5" max="5" width="12.33203125" customWidth="1"/>
    <col min="6" max="6" width="18" customWidth="1"/>
  </cols>
  <sheetData>
    <row r="2" spans="2:12">
      <c r="D2" s="25" t="s">
        <v>189</v>
      </c>
    </row>
    <row r="4" spans="2:12">
      <c r="C4" s="28" t="s">
        <v>190</v>
      </c>
      <c r="D4" s="5">
        <f>Investment!C55</f>
        <v>1551920</v>
      </c>
    </row>
    <row r="5" spans="2:12">
      <c r="C5" s="28" t="s">
        <v>191</v>
      </c>
      <c r="D5" s="6">
        <f>'Techno Economic Parameters'!C53</f>
        <v>11.5</v>
      </c>
      <c r="E5" s="6">
        <f>D5/12</f>
        <v>0.95833333333333337</v>
      </c>
      <c r="F5" t="s">
        <v>192</v>
      </c>
    </row>
    <row r="6" spans="2:12">
      <c r="C6" s="28" t="s">
        <v>193</v>
      </c>
      <c r="D6" s="5">
        <f>'Techno Economic Parameters'!C54</f>
        <v>7</v>
      </c>
      <c r="E6" s="7">
        <f>D6*12</f>
        <v>84</v>
      </c>
      <c r="F6" t="s">
        <v>194</v>
      </c>
    </row>
    <row r="7" spans="2:12">
      <c r="C7" s="28" t="s">
        <v>195</v>
      </c>
      <c r="D7" s="6">
        <f>(D$5%*$D$4)/(1-1/(1+D$5%)^D6)</f>
        <v>334679.37972194754</v>
      </c>
      <c r="E7" s="6"/>
    </row>
    <row r="8" spans="2:12">
      <c r="C8" s="28" t="s">
        <v>196</v>
      </c>
      <c r="D8" s="6">
        <f>ROUND(((D5%/12*D$4))/(1-1/(1+(D$5%/12))^(D$6*12)),0)</f>
        <v>26982</v>
      </c>
    </row>
    <row r="9" spans="2:12">
      <c r="B9" s="8" t="s">
        <v>197</v>
      </c>
      <c r="C9" s="8" t="s">
        <v>198</v>
      </c>
      <c r="D9" s="8" t="s">
        <v>199</v>
      </c>
      <c r="E9" s="8" t="s">
        <v>200</v>
      </c>
      <c r="F9" s="8" t="s">
        <v>201</v>
      </c>
      <c r="L9" s="11"/>
    </row>
    <row r="10" spans="2:12">
      <c r="B10" s="8"/>
      <c r="F10" s="9">
        <f>D4</f>
        <v>1551920</v>
      </c>
      <c r="L10" s="11"/>
    </row>
    <row r="11" spans="2:12">
      <c r="B11" s="10">
        <f>IF(B10&gt;=D6*12,"",B10+1)</f>
        <v>1</v>
      </c>
      <c r="C11" s="11">
        <f>E11</f>
        <v>14872.57</v>
      </c>
      <c r="D11" s="11">
        <v>0</v>
      </c>
      <c r="E11" s="11">
        <f>IF(B11="","",ROUND(E5%*F10,2))</f>
        <v>14872.57</v>
      </c>
      <c r="F11" s="11">
        <f>IF(B11="","",F10-D11)</f>
        <v>1551920</v>
      </c>
      <c r="L11" s="11"/>
    </row>
    <row r="12" spans="2:12">
      <c r="B12" s="10">
        <f>IF(B11&gt;=D6*12,"",B11+1)</f>
        <v>2</v>
      </c>
      <c r="C12" s="11">
        <f>E12</f>
        <v>14872.57</v>
      </c>
      <c r="D12" s="11">
        <v>0</v>
      </c>
      <c r="E12" s="11">
        <f>IF(B12="","",ROUND(E5%*F11,2))</f>
        <v>14872.57</v>
      </c>
      <c r="F12" s="11">
        <f t="shared" ref="F12:F75" si="0">IF(B12="","",F11-D12)</f>
        <v>1551920</v>
      </c>
      <c r="L12" s="11"/>
    </row>
    <row r="13" spans="2:12">
      <c r="B13" s="10">
        <f>IF(B12&gt;=D6*12,"",B12+1)</f>
        <v>3</v>
      </c>
      <c r="C13" s="11">
        <f>E13</f>
        <v>14872.57</v>
      </c>
      <c r="D13" s="11">
        <v>0</v>
      </c>
      <c r="E13" s="11">
        <f>IF(B13="","",ROUND(E5%*F12,2))</f>
        <v>14872.57</v>
      </c>
      <c r="F13" s="11">
        <f t="shared" si="0"/>
        <v>1551920</v>
      </c>
      <c r="L13" s="11"/>
    </row>
    <row r="14" spans="2:12">
      <c r="B14" s="10">
        <f>IF(B13&gt;=D6*12,"",B13+1)</f>
        <v>4</v>
      </c>
      <c r="C14" s="11">
        <f>IF(B14="","",IF(OR(B14=E6,D8&gt;ROUND((1+E5%)*F13,2)),ROUND((1+E5%)*F13,2),D8))</f>
        <v>26982</v>
      </c>
      <c r="D14" s="11">
        <f t="shared" ref="D14:D77" si="1">IF(B14="","",C14-E14)</f>
        <v>12109.43</v>
      </c>
      <c r="E14" s="11">
        <f>IF(B14="","",ROUND(E5%*F13,2))</f>
        <v>14872.57</v>
      </c>
      <c r="F14" s="11">
        <f t="shared" si="0"/>
        <v>1539810.57</v>
      </c>
      <c r="L14" s="11"/>
    </row>
    <row r="15" spans="2:12">
      <c r="B15" s="12">
        <f>IF(B14&gt;=D6*12,"",B14+1)</f>
        <v>5</v>
      </c>
      <c r="C15" s="11">
        <f>IF(B15="","",IF(OR(B15=E6,D8&gt;ROUND((1+E5%)*F14,2)),ROUND((1+E5%)*F14,2),D8))</f>
        <v>26982</v>
      </c>
      <c r="D15" s="11">
        <f t="shared" si="1"/>
        <v>12225.48</v>
      </c>
      <c r="E15" s="11">
        <f>IF(B15="","",ROUND(E5%*F14,2))</f>
        <v>14756.52</v>
      </c>
      <c r="F15" s="11">
        <f t="shared" si="0"/>
        <v>1527585.09</v>
      </c>
      <c r="L15" s="11"/>
    </row>
    <row r="16" spans="2:12">
      <c r="B16" s="12">
        <f>IF(B15&gt;=D6*12,"",B15+1)</f>
        <v>6</v>
      </c>
      <c r="C16" s="11">
        <f>IF(B16="","",IF(OR(B16=E6,D8&gt;ROUND((1+E5%)*F15,2)),ROUND((1+E5%)*F15,2),D8))</f>
        <v>26982</v>
      </c>
      <c r="D16" s="11">
        <f t="shared" si="1"/>
        <v>12342.64</v>
      </c>
      <c r="E16" s="11">
        <f>IF(B16="","",ROUND(E5%*F15,2))</f>
        <v>14639.36</v>
      </c>
      <c r="F16" s="11">
        <f t="shared" si="0"/>
        <v>1515242.4500000002</v>
      </c>
      <c r="L16" s="11"/>
    </row>
    <row r="17" spans="2:13">
      <c r="B17" s="12">
        <f>IF(B16&gt;=D6*12,"",B16+1)</f>
        <v>7</v>
      </c>
      <c r="C17" s="11">
        <f>IF(B17="","",IF(OR(B17=E6,D8&gt;ROUND((1+E5%)*F16,2)),ROUND((1+E5%)*F16,2),D8))</f>
        <v>26982</v>
      </c>
      <c r="D17" s="11">
        <f t="shared" si="1"/>
        <v>12460.93</v>
      </c>
      <c r="E17" s="11">
        <f>IF(B17="","",ROUND(E5%*F16,2))</f>
        <v>14521.07</v>
      </c>
      <c r="F17" s="11">
        <f t="shared" si="0"/>
        <v>1502781.5200000003</v>
      </c>
      <c r="L17" s="11"/>
    </row>
    <row r="18" spans="2:13">
      <c r="B18" s="12">
        <f>IF(B17&gt;=D6*12,"",B17+1)</f>
        <v>8</v>
      </c>
      <c r="C18" s="11">
        <f>IF(B18="","",IF(OR(B18=E6,D8&gt;ROUND((1+E5%)*F17,2)),ROUND((1+E5%)*F17,2),D8))</f>
        <v>26982</v>
      </c>
      <c r="D18" s="11">
        <f t="shared" si="1"/>
        <v>12580.34</v>
      </c>
      <c r="E18" s="11">
        <f>IF(B18="","",ROUND(E5%*F17,2))</f>
        <v>14401.66</v>
      </c>
      <c r="F18" s="11">
        <f t="shared" si="0"/>
        <v>1490201.1800000002</v>
      </c>
      <c r="L18" s="11"/>
    </row>
    <row r="19" spans="2:13">
      <c r="B19" s="12">
        <f>IF(B18&gt;=D6*12,"",B18+1)</f>
        <v>9</v>
      </c>
      <c r="C19" s="11">
        <f>IF(B19="","",IF(OR(B19=E6,D8&gt;ROUND((1+E5%)*F18,2)),ROUND((1+E5%)*F18,2),D8))</f>
        <v>26982</v>
      </c>
      <c r="D19" s="11">
        <f t="shared" si="1"/>
        <v>12700.91</v>
      </c>
      <c r="E19" s="11">
        <f>IF(B19="","",ROUND(E5%*F18,2))</f>
        <v>14281.09</v>
      </c>
      <c r="F19" s="11">
        <f t="shared" si="0"/>
        <v>1477500.2700000003</v>
      </c>
      <c r="L19" s="11"/>
    </row>
    <row r="20" spans="2:13">
      <c r="B20" s="12">
        <f>IF(B19&gt;=D6*12,"",B19+1)</f>
        <v>10</v>
      </c>
      <c r="C20" s="11">
        <f>IF(B20="","",IF(OR(B20=E6,D8&gt;ROUND((1+E5%)*F19,2)),ROUND((1+E5%)*F19,2),D8))</f>
        <v>26982</v>
      </c>
      <c r="D20" s="11">
        <f t="shared" si="1"/>
        <v>12822.62</v>
      </c>
      <c r="E20" s="11">
        <f>IF(B20="","",ROUND(E5%*F19,2))</f>
        <v>14159.38</v>
      </c>
      <c r="F20" s="11">
        <f t="shared" si="0"/>
        <v>1464677.6500000001</v>
      </c>
      <c r="L20" s="11"/>
    </row>
    <row r="21" spans="2:13">
      <c r="B21" s="12">
        <f>IF(B20&gt;=D6*12,"",B20+1)</f>
        <v>11</v>
      </c>
      <c r="C21" s="11">
        <f>IF(B21="","",IF(OR(B21=E6,D8&gt;ROUND((1+E5%)*F20,2)),ROUND((1+E5%)*F20,2),D8))</f>
        <v>26982</v>
      </c>
      <c r="D21" s="11">
        <f t="shared" si="1"/>
        <v>12945.51</v>
      </c>
      <c r="E21" s="11">
        <f>IF(B21="","",ROUND(E5%*F20,2))</f>
        <v>14036.49</v>
      </c>
      <c r="F21" s="11">
        <f t="shared" si="0"/>
        <v>1451732.1400000001</v>
      </c>
      <c r="L21" s="5"/>
      <c r="M21" s="5"/>
    </row>
    <row r="22" spans="2:13">
      <c r="B22" s="12">
        <f>IF(B21&gt;=D6*12,"",B21+1)</f>
        <v>12</v>
      </c>
      <c r="C22" s="11">
        <f>IF(B22="","",IF(OR(B22=E6,D8&gt;ROUND((1+E5%)*F21,2)),ROUND((1+E5%)*F21,2),D8))</f>
        <v>26982</v>
      </c>
      <c r="D22" s="11">
        <f t="shared" si="1"/>
        <v>13069.57</v>
      </c>
      <c r="E22" s="11">
        <f>IF(B22="","",ROUND(E5%*F21,2))</f>
        <v>13912.43</v>
      </c>
      <c r="F22" s="11">
        <f t="shared" si="0"/>
        <v>1438662.57</v>
      </c>
    </row>
    <row r="23" spans="2:13">
      <c r="B23" s="12">
        <f>IF(B22&gt;=D6*12,"",B22+1)</f>
        <v>13</v>
      </c>
      <c r="C23" s="11">
        <f>IF(B23="","",IF(OR(B23=E6,D8&gt;ROUND((1+E5%)*F22,2)),ROUND((1+E5%)*F22,2),D8))</f>
        <v>26982</v>
      </c>
      <c r="D23" s="11">
        <f t="shared" si="1"/>
        <v>13194.82</v>
      </c>
      <c r="E23" s="11">
        <f>IF(B23="","",ROUND(E5%*F22,2))</f>
        <v>13787.18</v>
      </c>
      <c r="F23" s="11">
        <f t="shared" si="0"/>
        <v>1425467.75</v>
      </c>
    </row>
    <row r="24" spans="2:13">
      <c r="B24" s="12">
        <f>IF(B23&gt;=D6*12,"",B23+1)</f>
        <v>14</v>
      </c>
      <c r="C24" s="11">
        <f>IF(B24="","",IF(OR(B24=E6,D8&gt;ROUND((1+E5%)*F23,2)),ROUND((1+E5%)*F23,2),D8))</f>
        <v>26982</v>
      </c>
      <c r="D24" s="11">
        <f t="shared" si="1"/>
        <v>13321.27</v>
      </c>
      <c r="E24" s="11">
        <f>IF(B24="","",ROUND(E5%*F23,2))</f>
        <v>13660.73</v>
      </c>
      <c r="F24" s="11">
        <f t="shared" si="0"/>
        <v>1412146.48</v>
      </c>
    </row>
    <row r="25" spans="2:13">
      <c r="B25" s="12">
        <f>IF(B24&gt;=D6*12,"",B24+1)</f>
        <v>15</v>
      </c>
      <c r="C25" s="11">
        <f>IF(B25="","",IF(OR(B25=E6,D8&gt;ROUND((1+E5%)*F24,2)),ROUND((1+E5%)*F24,2),D8))</f>
        <v>26982</v>
      </c>
      <c r="D25" s="11">
        <f t="shared" si="1"/>
        <v>13448.93</v>
      </c>
      <c r="E25" s="11">
        <f>IF(B25="","",ROUND(E5%*F24,2))</f>
        <v>13533.07</v>
      </c>
      <c r="F25" s="11">
        <f t="shared" si="0"/>
        <v>1398697.55</v>
      </c>
    </row>
    <row r="26" spans="2:13">
      <c r="B26" s="12">
        <f>IF(B25&gt;=D6*12,"",B25+1)</f>
        <v>16</v>
      </c>
      <c r="C26" s="11">
        <f>IF(B26="","",IF(OR(B26=E6,D8&gt;ROUND((1+E5%)*F25,2)),ROUND((1+E5%)*F25,2),D8))</f>
        <v>26982</v>
      </c>
      <c r="D26" s="11">
        <f t="shared" si="1"/>
        <v>13577.82</v>
      </c>
      <c r="E26" s="11">
        <f>IF(B26="","",ROUND(E5%*F25,2))</f>
        <v>13404.18</v>
      </c>
      <c r="F26" s="11">
        <f t="shared" si="0"/>
        <v>1385119.73</v>
      </c>
    </row>
    <row r="27" spans="2:13">
      <c r="B27" s="12">
        <f>IF(B26&gt;=D6*12,"",B26+1)</f>
        <v>17</v>
      </c>
      <c r="C27" s="11">
        <f>IF(B27="","",IF(OR(B27=E6,D8&gt;ROUND((1+E5%)*F26,2)),ROUND((1+E5%)*F26,2),D8))</f>
        <v>26982</v>
      </c>
      <c r="D27" s="11">
        <f t="shared" si="1"/>
        <v>13707.94</v>
      </c>
      <c r="E27" s="11">
        <f>IF(B27="","",ROUND(E5%*F26,2))</f>
        <v>13274.06</v>
      </c>
      <c r="F27" s="11">
        <f t="shared" si="0"/>
        <v>1371411.79</v>
      </c>
    </row>
    <row r="28" spans="2:13">
      <c r="B28" s="12">
        <f>IF(B27&gt;=D6*12,"",B27+1)</f>
        <v>18</v>
      </c>
      <c r="C28" s="11">
        <f>IF(B28="","",IF(OR(B28=E6,D8&gt;ROUND((1+E5%)*F27,2)),ROUND((1+E5%)*F27,2),D8))</f>
        <v>26982</v>
      </c>
      <c r="D28" s="11">
        <f t="shared" si="1"/>
        <v>13839.3</v>
      </c>
      <c r="E28" s="11">
        <f>IF(B28="","",ROUND(E5%*F27,2))</f>
        <v>13142.7</v>
      </c>
      <c r="F28" s="11">
        <f t="shared" si="0"/>
        <v>1357572.49</v>
      </c>
    </row>
    <row r="29" spans="2:13">
      <c r="B29" s="12">
        <f>IF(B28&gt;=D6*12,"",B28+1)</f>
        <v>19</v>
      </c>
      <c r="C29" s="11">
        <f>IF(B29="","",IF(OR(B29=E6,D8&gt;ROUND((1+E5%)*F28,2)),ROUND((1+E5%)*F28,2),D8))</f>
        <v>26982</v>
      </c>
      <c r="D29" s="11">
        <f t="shared" si="1"/>
        <v>13971.93</v>
      </c>
      <c r="E29" s="11">
        <f>IF(B29="","",ROUND(E5%*F28,2))</f>
        <v>13010.07</v>
      </c>
      <c r="F29" s="11">
        <f t="shared" si="0"/>
        <v>1343600.56</v>
      </c>
    </row>
    <row r="30" spans="2:13">
      <c r="B30" s="12">
        <f>IF(B29&gt;=D6*12,"",B29+1)</f>
        <v>20</v>
      </c>
      <c r="C30" s="11">
        <f>IF(B30="","",IF(OR(B30=E6,D8&gt;ROUND((1+E5%)*F29,2)),ROUND((1+E5%)*F29,2),D8))</f>
        <v>26982</v>
      </c>
      <c r="D30" s="11">
        <f t="shared" si="1"/>
        <v>14105.83</v>
      </c>
      <c r="E30" s="11">
        <f>IF(B30="","",ROUND(E5%*F29,2))</f>
        <v>12876.17</v>
      </c>
      <c r="F30" s="11">
        <f t="shared" si="0"/>
        <v>1329494.73</v>
      </c>
    </row>
    <row r="31" spans="2:13">
      <c r="B31" s="12">
        <f>IF(B30&gt;=D6*12,"",B30+1)</f>
        <v>21</v>
      </c>
      <c r="C31" s="11">
        <f>IF(B31="","",IF(OR(B31=E6,D8&gt;ROUND((1+E5%)*F30,2)),ROUND((1+E5%)*F30,2),D8))</f>
        <v>26982</v>
      </c>
      <c r="D31" s="11">
        <f t="shared" si="1"/>
        <v>14241.01</v>
      </c>
      <c r="E31" s="11">
        <f>IF(B31="","",ROUND(E5%*F30,2))</f>
        <v>12740.99</v>
      </c>
      <c r="F31" s="11">
        <f t="shared" si="0"/>
        <v>1315253.72</v>
      </c>
    </row>
    <row r="32" spans="2:13">
      <c r="B32" s="12">
        <f>IF(B31&gt;=D6*12,"",B31+1)</f>
        <v>22</v>
      </c>
      <c r="C32" s="11">
        <f>IF(B32="","",IF(OR(B32=E6,D8&gt;ROUND((1+E5%)*F31,2)),ROUND((1+E5%)*F31,2),D8))</f>
        <v>26982</v>
      </c>
      <c r="D32" s="11">
        <f t="shared" si="1"/>
        <v>14377.49</v>
      </c>
      <c r="E32" s="11">
        <f>IF(B32="","",ROUND(E5%*F31,2))</f>
        <v>12604.51</v>
      </c>
      <c r="F32" s="11">
        <f t="shared" si="0"/>
        <v>1300876.23</v>
      </c>
    </row>
    <row r="33" spans="2:6">
      <c r="B33" s="12">
        <f>IF(B32&gt;=D6*12,"",B32+1)</f>
        <v>23</v>
      </c>
      <c r="C33" s="11">
        <f>IF(B33="","",IF(OR(B33=E6,D8&gt;ROUND((1+E5%)*F32,2)),ROUND((1+E5%)*F32,2),D8))</f>
        <v>26982</v>
      </c>
      <c r="D33" s="11">
        <f t="shared" si="1"/>
        <v>14515.27</v>
      </c>
      <c r="E33" s="11">
        <f>IF(B33="","",ROUND(E5%*F32,2))</f>
        <v>12466.73</v>
      </c>
      <c r="F33" s="11">
        <f t="shared" si="0"/>
        <v>1286360.96</v>
      </c>
    </row>
    <row r="34" spans="2:6">
      <c r="B34" s="12">
        <f>IF(B33&gt;=D6*12,"",B33+1)</f>
        <v>24</v>
      </c>
      <c r="C34" s="11">
        <f>IF(B34="","",IF(OR(B34=E6,D8&gt;ROUND((1+E5%)*F33,2)),ROUND((1+E5%)*F33,2),D8))</f>
        <v>26982</v>
      </c>
      <c r="D34" s="11">
        <f t="shared" si="1"/>
        <v>14654.37</v>
      </c>
      <c r="E34" s="11">
        <f>IF(B34="","",ROUND(E5%*F33,2))</f>
        <v>12327.63</v>
      </c>
      <c r="F34" s="11">
        <f t="shared" si="0"/>
        <v>1271706.5899999999</v>
      </c>
    </row>
    <row r="35" spans="2:6">
      <c r="B35" s="12">
        <f>IF(B34&gt;=D6*12,"",B34+1)</f>
        <v>25</v>
      </c>
      <c r="C35" s="11">
        <f>IF(B35="","",IF(OR(B35=E6,D8&gt;ROUND((1+E5%)*F34,2)),ROUND((1+E5%)*F34,2),D8))</f>
        <v>26982</v>
      </c>
      <c r="D35" s="11">
        <f t="shared" si="1"/>
        <v>14794.81</v>
      </c>
      <c r="E35" s="11">
        <f>IF(B35="","",ROUND(E5%*F34,2))</f>
        <v>12187.19</v>
      </c>
      <c r="F35" s="11">
        <f t="shared" si="0"/>
        <v>1256911.7799999998</v>
      </c>
    </row>
    <row r="36" spans="2:6">
      <c r="B36" s="12">
        <f>IF(B35&gt;=D6*12,"",B35+1)</f>
        <v>26</v>
      </c>
      <c r="C36" s="11">
        <f>IF(B36="","",IF(OR(B36=E6,D8&gt;ROUND((1+E5%)*F35,2)),ROUND((1+E5%)*F35,2),D8))</f>
        <v>26982</v>
      </c>
      <c r="D36" s="11">
        <f t="shared" si="1"/>
        <v>14936.6</v>
      </c>
      <c r="E36" s="11">
        <f>IF(B36="","",ROUND(E5%*F35,2))</f>
        <v>12045.4</v>
      </c>
      <c r="F36" s="11">
        <f t="shared" si="0"/>
        <v>1241975.1799999997</v>
      </c>
    </row>
    <row r="37" spans="2:6">
      <c r="B37" s="12">
        <f>IF(B36&gt;=D6*12,"",B36+1)</f>
        <v>27</v>
      </c>
      <c r="C37" s="11">
        <f>IF(B37="","",IF(OR(B37=E6,D8&gt;ROUND((1+E5%)*F36,2)),ROUND((1+E5%)*F36,2),D8))</f>
        <v>26982</v>
      </c>
      <c r="D37" s="11">
        <f t="shared" si="1"/>
        <v>15079.74</v>
      </c>
      <c r="E37" s="11">
        <f>IF(B37="","",ROUND(E5%*F36,2))</f>
        <v>11902.26</v>
      </c>
      <c r="F37" s="11">
        <f t="shared" si="0"/>
        <v>1226895.4399999997</v>
      </c>
    </row>
    <row r="38" spans="2:6">
      <c r="B38" s="12">
        <f>IF(B37&gt;=D6*12,"",B37+1)</f>
        <v>28</v>
      </c>
      <c r="C38" s="11">
        <f>IF(B38="","",IF(OR(B38=E6,D8&gt;ROUND((1+E5%)*F37,2)),ROUND((1+E5%)*F37,2),D8))</f>
        <v>26982</v>
      </c>
      <c r="D38" s="11">
        <f t="shared" si="1"/>
        <v>15224.25</v>
      </c>
      <c r="E38" s="11">
        <f>IF(B38="","",ROUND(E5%*F37,2))</f>
        <v>11757.75</v>
      </c>
      <c r="F38" s="11">
        <f t="shared" si="0"/>
        <v>1211671.1899999997</v>
      </c>
    </row>
    <row r="39" spans="2:6">
      <c r="B39" s="12">
        <f>IF(B38&gt;=D6*12,"",B38+1)</f>
        <v>29</v>
      </c>
      <c r="C39" s="11">
        <f>IF(B39="","",IF(OR(B39=E6,D8&gt;ROUND((1+E5%)*F38,2)),ROUND((1+E5%)*F38,2),D8))</f>
        <v>26982</v>
      </c>
      <c r="D39" s="11">
        <f t="shared" si="1"/>
        <v>15370.15</v>
      </c>
      <c r="E39" s="11">
        <f>IF(B39="","",ROUND(E5%*F38,2))</f>
        <v>11611.85</v>
      </c>
      <c r="F39" s="11">
        <f t="shared" si="0"/>
        <v>1196301.0399999998</v>
      </c>
    </row>
    <row r="40" spans="2:6">
      <c r="B40" s="12">
        <f>IF(B39&gt;=D6*12,"",B39+1)</f>
        <v>30</v>
      </c>
      <c r="C40" s="11">
        <f>IF(B40="","",IF(OR(B40=E6,D8&gt;ROUND((1+E5%)*F39,2)),ROUND((1+E5%)*F39,2),D8))</f>
        <v>26982</v>
      </c>
      <c r="D40" s="11">
        <f t="shared" si="1"/>
        <v>15517.45</v>
      </c>
      <c r="E40" s="11">
        <f>IF(B40="","",ROUND(E5%*F39,2))</f>
        <v>11464.55</v>
      </c>
      <c r="F40" s="11">
        <f t="shared" si="0"/>
        <v>1180783.5899999999</v>
      </c>
    </row>
    <row r="41" spans="2:6">
      <c r="B41" s="12">
        <f>IF(B40&gt;=D6*12,"",B40+1)</f>
        <v>31</v>
      </c>
      <c r="C41" s="11">
        <f>IF(B41="","",IF(OR(B41=E6,D8&gt;ROUND((1+E5%)*F40,2)),ROUND((1+E5%)*F40,2),D8))</f>
        <v>26982</v>
      </c>
      <c r="D41" s="11">
        <f t="shared" si="1"/>
        <v>15666.16</v>
      </c>
      <c r="E41" s="11">
        <f>IF(B41="","",ROUND(E5%*F40,2))</f>
        <v>11315.84</v>
      </c>
      <c r="F41" s="11">
        <f t="shared" si="0"/>
        <v>1165117.43</v>
      </c>
    </row>
    <row r="42" spans="2:6">
      <c r="B42" s="12">
        <f>IF(B41&gt;=D6*12,"",B41+1)</f>
        <v>32</v>
      </c>
      <c r="C42" s="11">
        <f>IF(B42="","",IF(OR(B42=E6,D8&gt;ROUND((1+E5%)*F41,2)),ROUND((1+E5%)*F41,2),D8))</f>
        <v>26982</v>
      </c>
      <c r="D42" s="11">
        <f t="shared" si="1"/>
        <v>15816.29</v>
      </c>
      <c r="E42" s="11">
        <f>IF(B42="","",ROUND(E5%*F41,2))</f>
        <v>11165.71</v>
      </c>
      <c r="F42" s="11">
        <f t="shared" si="0"/>
        <v>1149301.1399999999</v>
      </c>
    </row>
    <row r="43" spans="2:6">
      <c r="B43" s="12">
        <f>IF(B42&gt;=D6*12,"",B42+1)</f>
        <v>33</v>
      </c>
      <c r="C43" s="11">
        <f>IF(B43="","",IF(OR(B43=E6,D8&gt;ROUND((1+E5%)*F42,2)),ROUND((1+E5%)*F42,2),D8))</f>
        <v>26982</v>
      </c>
      <c r="D43" s="11">
        <f t="shared" si="1"/>
        <v>15967.86</v>
      </c>
      <c r="E43" s="11">
        <f>IF(B43="","",ROUND(E5%*F42,2))</f>
        <v>11014.14</v>
      </c>
      <c r="F43" s="11">
        <f t="shared" si="0"/>
        <v>1133333.2799999998</v>
      </c>
    </row>
    <row r="44" spans="2:6">
      <c r="B44" s="12">
        <f>IF(B43&gt;=D6*12,"",B43+1)</f>
        <v>34</v>
      </c>
      <c r="C44" s="11">
        <f>IF(B44="","",IF(OR(B44=E6,D8&gt;ROUND((1+E5%)*F43,2)),ROUND((1+E5%)*F43,2),D8))</f>
        <v>26982</v>
      </c>
      <c r="D44" s="11">
        <f t="shared" si="1"/>
        <v>16120.89</v>
      </c>
      <c r="E44" s="11">
        <f>IF(B44="","",ROUND(E5%*F43,2))</f>
        <v>10861.11</v>
      </c>
      <c r="F44" s="11">
        <f t="shared" si="0"/>
        <v>1117212.3899999999</v>
      </c>
    </row>
    <row r="45" spans="2:6">
      <c r="B45" s="12">
        <f>IF(B44&gt;=D6*12,"",B44+1)</f>
        <v>35</v>
      </c>
      <c r="C45" s="11">
        <f>IF(B45="","",IF(OR(B45=E6,D8&gt;ROUND((1+E5%)*F44,2)),ROUND((1+E5%)*F44,2),D8))</f>
        <v>26982</v>
      </c>
      <c r="D45" s="11">
        <f t="shared" si="1"/>
        <v>16275.38</v>
      </c>
      <c r="E45" s="11">
        <f>IF(B45="","",ROUND(E5%*F44,2))</f>
        <v>10706.62</v>
      </c>
      <c r="F45" s="11">
        <f t="shared" si="0"/>
        <v>1100937.01</v>
      </c>
    </row>
    <row r="46" spans="2:6">
      <c r="B46" s="12">
        <f>IF(B45&gt;=D6*12,"",B45+1)</f>
        <v>36</v>
      </c>
      <c r="C46" s="11">
        <f>IF(B46="","",IF(OR(B46=E6,D8&gt;ROUND((1+E5%)*F45,2)),ROUND((1+E5%)*F45,2),D8))</f>
        <v>26982</v>
      </c>
      <c r="D46" s="11">
        <f t="shared" si="1"/>
        <v>16431.349999999999</v>
      </c>
      <c r="E46" s="11">
        <f>IF(B46="","",ROUND(E5%*F45,2))</f>
        <v>10550.65</v>
      </c>
      <c r="F46" s="11">
        <f t="shared" si="0"/>
        <v>1084505.6599999999</v>
      </c>
    </row>
    <row r="47" spans="2:6">
      <c r="B47" s="12">
        <f>IF(B46&gt;=D6*12,"",B46+1)</f>
        <v>37</v>
      </c>
      <c r="C47" s="11">
        <f>IF(B47="","",IF(OR(B47=E6,D8&gt;ROUND((1+E5%)*F46,2)),ROUND((1+E5%)*F46,2),D8))</f>
        <v>26982</v>
      </c>
      <c r="D47" s="11">
        <f t="shared" si="1"/>
        <v>16588.82</v>
      </c>
      <c r="E47" s="11">
        <f>IF(B47="","",ROUND(E5%*F46,2))</f>
        <v>10393.18</v>
      </c>
      <c r="F47" s="11">
        <f t="shared" si="0"/>
        <v>1067916.8399999999</v>
      </c>
    </row>
    <row r="48" spans="2:6">
      <c r="B48" s="12">
        <f>IF(B47&gt;=D6*12,"",B47+1)</f>
        <v>38</v>
      </c>
      <c r="C48" s="11">
        <f>IF(B48="","",IF(OR(B48=E6,D8&gt;ROUND((1+E5%)*F47,2)),ROUND((1+E5%)*F47,2),D8))</f>
        <v>26982</v>
      </c>
      <c r="D48" s="11">
        <f t="shared" si="1"/>
        <v>16747.8</v>
      </c>
      <c r="E48" s="11">
        <f>IF(B48="","",ROUND(E5%*F47,2))</f>
        <v>10234.200000000001</v>
      </c>
      <c r="F48" s="11">
        <f t="shared" si="0"/>
        <v>1051169.0399999998</v>
      </c>
    </row>
    <row r="49" spans="2:6">
      <c r="B49" s="12">
        <f>IF(B48&gt;=D6*12,"",B48+1)</f>
        <v>39</v>
      </c>
      <c r="C49" s="11">
        <f>IF(B49="","",IF(OR(B49=E6,D8&gt;ROUND((1+E5%)*F48,2)),ROUND((1+E5%)*F48,2),D8))</f>
        <v>26982</v>
      </c>
      <c r="D49" s="11">
        <f t="shared" si="1"/>
        <v>16908.3</v>
      </c>
      <c r="E49" s="11">
        <f>IF(B49="","",ROUND(E5%*F48,2))</f>
        <v>10073.700000000001</v>
      </c>
      <c r="F49" s="11">
        <f t="shared" si="0"/>
        <v>1034260.7399999998</v>
      </c>
    </row>
    <row r="50" spans="2:6">
      <c r="B50" s="12">
        <f>IF(B49&gt;=D6*12,"",B49+1)</f>
        <v>40</v>
      </c>
      <c r="C50" s="11">
        <f>IF(B50="","",IF(OR(B50=E6,D8&gt;ROUND((1+E5%)*F49,2)),ROUND((1+E5%)*F49,2),D8))</f>
        <v>26982</v>
      </c>
      <c r="D50" s="11">
        <f t="shared" si="1"/>
        <v>17070.330000000002</v>
      </c>
      <c r="E50" s="11">
        <f>IF(B50="","",ROUND(E5%*F49,2))</f>
        <v>9911.67</v>
      </c>
      <c r="F50" s="11">
        <f t="shared" si="0"/>
        <v>1017190.4099999998</v>
      </c>
    </row>
    <row r="51" spans="2:6">
      <c r="B51" s="12">
        <f>IF(B50&gt;=D6*12,"",B50+1)</f>
        <v>41</v>
      </c>
      <c r="C51" s="11">
        <f>IF(B51="","",IF(OR(B51=E6,D8&gt;ROUND((1+E5%)*F50,2)),ROUND((1+E5%)*F50,2),D8))</f>
        <v>26982</v>
      </c>
      <c r="D51" s="11">
        <f t="shared" si="1"/>
        <v>17233.93</v>
      </c>
      <c r="E51" s="11">
        <f>IF(B51="","",ROUND(E5%*F50,2))</f>
        <v>9748.07</v>
      </c>
      <c r="F51" s="11">
        <f t="shared" si="0"/>
        <v>999956.47999999975</v>
      </c>
    </row>
    <row r="52" spans="2:6">
      <c r="B52" s="12">
        <f>IF(B51&gt;=D6*12,"",B51+1)</f>
        <v>42</v>
      </c>
      <c r="C52" s="11">
        <f>IF(B52="","",IF(OR(B52=E6,D8&gt;ROUND((1+E5%)*F51,2)),ROUND((1+E5%)*F51,2),D8))</f>
        <v>26982</v>
      </c>
      <c r="D52" s="11">
        <f t="shared" si="1"/>
        <v>17399.080000000002</v>
      </c>
      <c r="E52" s="11">
        <f>IF(B52="","",ROUND(E5%*F51,2))</f>
        <v>9582.92</v>
      </c>
      <c r="F52" s="11">
        <f t="shared" si="0"/>
        <v>982557.39999999979</v>
      </c>
    </row>
    <row r="53" spans="2:6">
      <c r="B53" s="12">
        <f>IF(B52&gt;=D6*12,"",B52+1)</f>
        <v>43</v>
      </c>
      <c r="C53" s="11">
        <f>IF(B53="","",IF(OR(B53=E6,D8&gt;ROUND((1+E5%)*F52,2)),ROUND((1+E5%)*F52,2),D8))</f>
        <v>26982</v>
      </c>
      <c r="D53" s="11">
        <f t="shared" si="1"/>
        <v>17565.82</v>
      </c>
      <c r="E53" s="11">
        <f>IF(B53="","",ROUND(E5%*F52,2))</f>
        <v>9416.18</v>
      </c>
      <c r="F53" s="11">
        <f t="shared" si="0"/>
        <v>964991.57999999984</v>
      </c>
    </row>
    <row r="54" spans="2:6">
      <c r="B54" s="12">
        <f>IF(B53&gt;=D6*12,"",B53+1)</f>
        <v>44</v>
      </c>
      <c r="C54" s="11">
        <f>IF(B54="","",IF(OR(B54=E6,D8&gt;ROUND((1+E5%)*F53,2)),ROUND((1+E5%)*F53,2),D8))</f>
        <v>26982</v>
      </c>
      <c r="D54" s="11">
        <f t="shared" si="1"/>
        <v>17734.16</v>
      </c>
      <c r="E54" s="11">
        <f>IF(B54="","",ROUND(E5%*F53,2))</f>
        <v>9247.84</v>
      </c>
      <c r="F54" s="11">
        <f t="shared" si="0"/>
        <v>947257.41999999981</v>
      </c>
    </row>
    <row r="55" spans="2:6">
      <c r="B55" s="12">
        <f>IF(B54&gt;=D6*12,"",B54+1)</f>
        <v>45</v>
      </c>
      <c r="C55" s="11">
        <f>IF(B55="","",IF(OR(B55=E6,D8&gt;ROUND((1+E5%)*F54,2)),ROUND((1+E5%)*F54,2),D8))</f>
        <v>26982</v>
      </c>
      <c r="D55" s="11">
        <f t="shared" si="1"/>
        <v>17904.120000000003</v>
      </c>
      <c r="E55" s="11">
        <f>IF(B55="","",ROUND(E5%*F54,2))</f>
        <v>9077.8799999999992</v>
      </c>
      <c r="F55" s="11">
        <f t="shared" si="0"/>
        <v>929353.29999999981</v>
      </c>
    </row>
    <row r="56" spans="2:6">
      <c r="B56" s="12">
        <f>IF(B55&gt;=D6*12,"",B55+1)</f>
        <v>46</v>
      </c>
      <c r="C56" s="11">
        <f>IF(B56="","",IF(OR(B56=E6,D8&gt;ROUND((1+E5%)*F55,2)),ROUND((1+E5%)*F55,2),D8))</f>
        <v>26982</v>
      </c>
      <c r="D56" s="11">
        <f t="shared" si="1"/>
        <v>18075.7</v>
      </c>
      <c r="E56" s="11">
        <f>IF(B56="","",ROUND(E5%*F55,2))</f>
        <v>8906.2999999999993</v>
      </c>
      <c r="F56" s="11">
        <f t="shared" si="0"/>
        <v>911277.59999999986</v>
      </c>
    </row>
    <row r="57" spans="2:6">
      <c r="B57" s="12">
        <f>IF(B56&gt;=D6*12,"",B56+1)</f>
        <v>47</v>
      </c>
      <c r="C57" s="11">
        <f>IF(B57="","",IF(OR(B57=E6,D8&gt;ROUND((1+E5%)*F56,2)),ROUND((1+E5%)*F56,2),D8))</f>
        <v>26982</v>
      </c>
      <c r="D57" s="11">
        <f t="shared" si="1"/>
        <v>18248.919999999998</v>
      </c>
      <c r="E57" s="11">
        <f>IF(B57="","",ROUND(E5%*F56,2))</f>
        <v>8733.08</v>
      </c>
      <c r="F57" s="11">
        <f t="shared" si="0"/>
        <v>893028.67999999982</v>
      </c>
    </row>
    <row r="58" spans="2:6">
      <c r="B58" s="12">
        <f>IF(B57&gt;=D6*12,"",B57+1)</f>
        <v>48</v>
      </c>
      <c r="C58" s="11">
        <f>IF(B58="","",IF(OR(B58=E6,D8&gt;ROUND((1+E5%)*F57,2)),ROUND((1+E5%)*F57,2),D8))</f>
        <v>26982</v>
      </c>
      <c r="D58" s="11">
        <f t="shared" si="1"/>
        <v>18423.809999999998</v>
      </c>
      <c r="E58" s="11">
        <f>IF(B58="","",ROUND(E5%*F57,2))</f>
        <v>8558.19</v>
      </c>
      <c r="F58" s="11">
        <f t="shared" si="0"/>
        <v>874604.86999999988</v>
      </c>
    </row>
    <row r="59" spans="2:6">
      <c r="B59" s="12">
        <f>IF(B58&gt;=D6*12,"",B58+1)</f>
        <v>49</v>
      </c>
      <c r="C59" s="11">
        <f>IF(B59="","",IF(OR(B59=E6,D8&gt;ROUND((1+E5%)*F58,2)),ROUND((1+E5%)*F58,2),D8))</f>
        <v>26982</v>
      </c>
      <c r="D59" s="11">
        <f t="shared" si="1"/>
        <v>18600.370000000003</v>
      </c>
      <c r="E59" s="11">
        <f>IF(B59="","",ROUND(E5%*F58,2))</f>
        <v>8381.6299999999992</v>
      </c>
      <c r="F59" s="11">
        <f t="shared" si="0"/>
        <v>856004.49999999988</v>
      </c>
    </row>
    <row r="60" spans="2:6">
      <c r="B60" s="12">
        <f>IF(B59&gt;=D6*12,"",B59+1)</f>
        <v>50</v>
      </c>
      <c r="C60" s="11">
        <f>IF(B60="","",IF(OR(B60=E6,D8&gt;ROUND((1+E5%)*F59,2)),ROUND((1+E5%)*F59,2),D8))</f>
        <v>26982</v>
      </c>
      <c r="D60" s="11">
        <f t="shared" si="1"/>
        <v>18778.620000000003</v>
      </c>
      <c r="E60" s="11">
        <f>IF(B60="","",ROUND(E5%*F59,2))</f>
        <v>8203.3799999999992</v>
      </c>
      <c r="F60" s="11">
        <f t="shared" si="0"/>
        <v>837225.87999999989</v>
      </c>
    </row>
    <row r="61" spans="2:6">
      <c r="B61" s="12">
        <f>IF(B60&gt;=D6*12,"",B60+1)</f>
        <v>51</v>
      </c>
      <c r="C61" s="11">
        <f>IF(B61="","",IF(OR(B61=E6,D8&gt;ROUND((1+E5%)*F60,2)),ROUND((1+E5%)*F60,2),D8))</f>
        <v>26982</v>
      </c>
      <c r="D61" s="11">
        <f t="shared" si="1"/>
        <v>18958.59</v>
      </c>
      <c r="E61" s="11">
        <f>IF(B61="","",ROUND(E5%*F60,2))</f>
        <v>8023.41</v>
      </c>
      <c r="F61" s="11">
        <f t="shared" si="0"/>
        <v>818267.28999999992</v>
      </c>
    </row>
    <row r="62" spans="2:6">
      <c r="B62" s="12">
        <f>IF(B61&gt;=D6*12,"",B61+1)</f>
        <v>52</v>
      </c>
      <c r="C62" s="11">
        <f>IF(B62="","",IF(OR(B62=E6,D8&gt;ROUND((1+E5%)*F61,2)),ROUND((1+E5%)*F61,2),D8))</f>
        <v>26982</v>
      </c>
      <c r="D62" s="11">
        <f t="shared" si="1"/>
        <v>19140.27</v>
      </c>
      <c r="E62" s="11">
        <f>IF(B62="","",ROUND(E5%*F61,2))</f>
        <v>7841.73</v>
      </c>
      <c r="F62" s="11">
        <f t="shared" si="0"/>
        <v>799127.0199999999</v>
      </c>
    </row>
    <row r="63" spans="2:6">
      <c r="B63" s="12">
        <f>IF(B62&gt;=D6*12,"",B62+1)</f>
        <v>53</v>
      </c>
      <c r="C63" s="11">
        <f>IF(B63="","",IF(OR(B63=E6,D8&gt;ROUND((1+E5%)*F62,2)),ROUND((1+E5%)*F62,2),D8))</f>
        <v>26982</v>
      </c>
      <c r="D63" s="11">
        <f t="shared" si="1"/>
        <v>19323.7</v>
      </c>
      <c r="E63" s="11">
        <f>IF(B63="","",ROUND(E5%*F62,2))</f>
        <v>7658.3</v>
      </c>
      <c r="F63" s="11">
        <f t="shared" si="0"/>
        <v>779803.32</v>
      </c>
    </row>
    <row r="64" spans="2:6">
      <c r="B64" s="12">
        <f>IF(B63&gt;=D6*12,"",B63+1)</f>
        <v>54</v>
      </c>
      <c r="C64" s="11">
        <f>IF(B64="","",IF(OR(B64=E6,D8&gt;ROUND((1+E5%)*F63,2)),ROUND((1+E5%)*F63,2),D8))</f>
        <v>26982</v>
      </c>
      <c r="D64" s="11">
        <f t="shared" si="1"/>
        <v>19508.88</v>
      </c>
      <c r="E64" s="11">
        <f>IF(B64="","",ROUND(E5%*F63,2))</f>
        <v>7473.12</v>
      </c>
      <c r="F64" s="11">
        <f t="shared" si="0"/>
        <v>760294.44</v>
      </c>
    </row>
    <row r="65" spans="2:6">
      <c r="B65" s="12">
        <f>IF(B64&gt;=D6*12,"",B64+1)</f>
        <v>55</v>
      </c>
      <c r="C65" s="11">
        <f>IF(B65="","",IF(OR(B65=E6,D8&gt;ROUND((1+E5%)*F64,2)),ROUND((1+E5%)*F64,2),D8))</f>
        <v>26982</v>
      </c>
      <c r="D65" s="11">
        <f t="shared" si="1"/>
        <v>19695.84</v>
      </c>
      <c r="E65" s="11">
        <f>IF(B65="","",ROUND(E5%*F64,2))</f>
        <v>7286.16</v>
      </c>
      <c r="F65" s="11">
        <f t="shared" si="0"/>
        <v>740598.6</v>
      </c>
    </row>
    <row r="66" spans="2:6">
      <c r="B66" s="12">
        <f>IF(B65&gt;=D6*12,"",B65+1)</f>
        <v>56</v>
      </c>
      <c r="C66" s="11">
        <f>IF(B66="","",IF(OR(B66=E6,D8&gt;ROUND((1+E5%)*F65,2)),ROUND((1+E5%)*F65,2),D8))</f>
        <v>26982</v>
      </c>
      <c r="D66" s="11">
        <f t="shared" si="1"/>
        <v>19884.599999999999</v>
      </c>
      <c r="E66" s="11">
        <f>IF(B66="","",ROUND(E5%*F65,2))</f>
        <v>7097.4</v>
      </c>
      <c r="F66" s="11">
        <f t="shared" si="0"/>
        <v>720714</v>
      </c>
    </row>
    <row r="67" spans="2:6">
      <c r="B67" s="12">
        <f>IF(B66&gt;=D6*12,"",B66+1)</f>
        <v>57</v>
      </c>
      <c r="C67" s="11">
        <f>IF(B67="","",IF(OR(B67=E6,D8&gt;ROUND((1+E5%)*F66,2)),ROUND((1+E5%)*F66,2),D8))</f>
        <v>26982</v>
      </c>
      <c r="D67" s="11">
        <f t="shared" si="1"/>
        <v>20075.16</v>
      </c>
      <c r="E67" s="11">
        <f>IF(B67="","",ROUND(E5%*F66,2))</f>
        <v>6906.84</v>
      </c>
      <c r="F67" s="11">
        <f t="shared" si="0"/>
        <v>700638.84</v>
      </c>
    </row>
    <row r="68" spans="2:6">
      <c r="B68" s="12">
        <f>IF(B67&gt;=D6*12,"",B67+1)</f>
        <v>58</v>
      </c>
      <c r="C68" s="11">
        <f>IF(B68="","",IF(OR(B68=E6,D8&gt;ROUND((1+E5%)*F67,2)),ROUND((1+E5%)*F67,2),D8))</f>
        <v>26982</v>
      </c>
      <c r="D68" s="11">
        <f t="shared" si="1"/>
        <v>20267.54</v>
      </c>
      <c r="E68" s="11">
        <f>IF(B68="","",ROUND(E5%*F67,2))</f>
        <v>6714.46</v>
      </c>
      <c r="F68" s="11">
        <f t="shared" si="0"/>
        <v>680371.29999999993</v>
      </c>
    </row>
    <row r="69" spans="2:6">
      <c r="B69" s="12">
        <f>IF(B68&gt;=D6*12,"",B68+1)</f>
        <v>59</v>
      </c>
      <c r="C69" s="11">
        <f>IF(B69="","",IF(OR(B69=E6,D8&gt;ROUND((1+E5%)*F68,2)),ROUND((1+E5%)*F68,2),D8))</f>
        <v>26982</v>
      </c>
      <c r="D69" s="11">
        <f t="shared" si="1"/>
        <v>20461.78</v>
      </c>
      <c r="E69" s="11">
        <f>IF(B69="","",ROUND(E5%*F68,2))</f>
        <v>6520.22</v>
      </c>
      <c r="F69" s="11">
        <f t="shared" si="0"/>
        <v>659909.5199999999</v>
      </c>
    </row>
    <row r="70" spans="2:6">
      <c r="B70" s="12">
        <f>IF(B69&gt;=D6*12,"",B69+1)</f>
        <v>60</v>
      </c>
      <c r="C70" s="11">
        <f>IF(B70="","",IF(OR(B70=E6,D8&gt;ROUND((1+E5%)*F69,2)),ROUND((1+E5%)*F69,2),D8))</f>
        <v>26982</v>
      </c>
      <c r="D70" s="11">
        <f t="shared" si="1"/>
        <v>20657.87</v>
      </c>
      <c r="E70" s="11">
        <f>IF(B70="","",ROUND(E5%*F69,2))</f>
        <v>6324.13</v>
      </c>
      <c r="F70" s="11">
        <f t="shared" si="0"/>
        <v>639251.64999999991</v>
      </c>
    </row>
    <row r="71" spans="2:6">
      <c r="B71" s="12">
        <f>IF(B70&gt;=D6*12,"",B70+1)</f>
        <v>61</v>
      </c>
      <c r="C71" s="11">
        <f>IF(B71="","",IF(OR(B71=E6,D8&gt;ROUND((1+E5%)*F70,2)),ROUND((1+E5%)*F70,2),D8))</f>
        <v>26982</v>
      </c>
      <c r="D71" s="11">
        <f t="shared" si="1"/>
        <v>20855.84</v>
      </c>
      <c r="E71" s="11">
        <f>IF(B71="","",ROUND(E5%*F70,2))</f>
        <v>6126.16</v>
      </c>
      <c r="F71" s="11">
        <f t="shared" si="0"/>
        <v>618395.80999999994</v>
      </c>
    </row>
    <row r="72" spans="2:6">
      <c r="B72" s="12">
        <f>IF(B71&gt;=D6*12,"",B71+1)</f>
        <v>62</v>
      </c>
      <c r="C72" s="11">
        <f>IF(B72="","",IF(OR(B72=E6,D8&gt;ROUND((1+E5%)*F71,2)),ROUND((1+E5%)*F71,2),D8))</f>
        <v>26982</v>
      </c>
      <c r="D72" s="11">
        <f t="shared" si="1"/>
        <v>21055.71</v>
      </c>
      <c r="E72" s="11">
        <f>IF(B72="","",ROUND(E5%*F71,2))</f>
        <v>5926.29</v>
      </c>
      <c r="F72" s="11">
        <f t="shared" si="0"/>
        <v>597340.1</v>
      </c>
    </row>
    <row r="73" spans="2:6">
      <c r="B73" s="12">
        <f>IF(B72&gt;=D6*12,"",B72+1)</f>
        <v>63</v>
      </c>
      <c r="C73" s="11">
        <f>IF(B73="","",IF(OR(B73=E6,D8&gt;ROUND((1+E5%)*F72,2)),ROUND((1+E5%)*F72,2),D8))</f>
        <v>26982</v>
      </c>
      <c r="D73" s="11">
        <f t="shared" si="1"/>
        <v>21257.489999999998</v>
      </c>
      <c r="E73" s="11">
        <f>IF(B73="","",ROUND(E5%*F72,2))</f>
        <v>5724.51</v>
      </c>
      <c r="F73" s="11">
        <f t="shared" si="0"/>
        <v>576082.61</v>
      </c>
    </row>
    <row r="74" spans="2:6">
      <c r="B74" s="12">
        <f>IF(B73&gt;=D6*12,"",B73+1)</f>
        <v>64</v>
      </c>
      <c r="C74" s="11">
        <f>IF(B74="","",IF(OR(B74=E6,D8&gt;ROUND((1+E5%)*F73,2)),ROUND((1+E5%)*F73,2),D8))</f>
        <v>26982</v>
      </c>
      <c r="D74" s="11">
        <f t="shared" si="1"/>
        <v>21461.21</v>
      </c>
      <c r="E74" s="11">
        <f>IF(B74="","",ROUND(E5%*F73,2))</f>
        <v>5520.79</v>
      </c>
      <c r="F74" s="11">
        <f t="shared" si="0"/>
        <v>554621.4</v>
      </c>
    </row>
    <row r="75" spans="2:6">
      <c r="B75" s="12">
        <f>IF(B74&gt;=D6*12,"",B74+1)</f>
        <v>65</v>
      </c>
      <c r="C75" s="11">
        <f>IF(B75="","",IF(OR(B75=E6,D8&gt;ROUND((1+E5%)*F74,2)),ROUND((1+E5%)*F74,2),D8))</f>
        <v>26982</v>
      </c>
      <c r="D75" s="11">
        <f t="shared" si="1"/>
        <v>21666.880000000001</v>
      </c>
      <c r="E75" s="11">
        <f>IF(B75="","",ROUND(E5%*F74,2))</f>
        <v>5315.12</v>
      </c>
      <c r="F75" s="11">
        <f t="shared" si="0"/>
        <v>532954.52</v>
      </c>
    </row>
    <row r="76" spans="2:6">
      <c r="B76" s="12">
        <f>IF(B75&gt;=D6*12,"",B75+1)</f>
        <v>66</v>
      </c>
      <c r="C76" s="11">
        <f>IF(B76="","",IF(OR(B76=E6,D8&gt;ROUND((1+E5%)*F75,2)),ROUND((1+E5%)*F75,2),D8))</f>
        <v>26982</v>
      </c>
      <c r="D76" s="11">
        <f t="shared" si="1"/>
        <v>21874.52</v>
      </c>
      <c r="E76" s="11">
        <f>IF(B76="","",ROUND(E5%*F75,2))</f>
        <v>5107.4799999999996</v>
      </c>
      <c r="F76" s="11">
        <f t="shared" ref="F76:F92" si="2">IF(B76="","",F75-D76)</f>
        <v>511080</v>
      </c>
    </row>
    <row r="77" spans="2:6">
      <c r="B77" s="12">
        <f>IF(B76&gt;=D6*12,"",B76+1)</f>
        <v>67</v>
      </c>
      <c r="C77" s="11">
        <f>IF(B77="","",IF(OR(B77=E6,D8&gt;ROUND((1+E5%)*F76,2)),ROUND((1+E5%)*F76,2),D8))</f>
        <v>26982</v>
      </c>
      <c r="D77" s="11">
        <f t="shared" si="1"/>
        <v>22084.15</v>
      </c>
      <c r="E77" s="11">
        <f>IF(B77="","",ROUND(E5%*F76,2))</f>
        <v>4897.8500000000004</v>
      </c>
      <c r="F77" s="11">
        <f t="shared" si="2"/>
        <v>488995.85</v>
      </c>
    </row>
    <row r="78" spans="2:6">
      <c r="B78" s="12">
        <f>IF(B77&gt;=D6*12,"",B77+1)</f>
        <v>68</v>
      </c>
      <c r="C78" s="11">
        <f>IF(B78="","",IF(OR(B78=E6,D8&gt;ROUND((1+E5%)*F77,2)),ROUND((1+E5%)*F77,2),D8))</f>
        <v>26982</v>
      </c>
      <c r="D78" s="11">
        <f t="shared" ref="D78:D92" si="3">IF(B78="","",C78-E78)</f>
        <v>22295.79</v>
      </c>
      <c r="E78" s="11">
        <f>IF(B78="","",ROUND(E5%*F77,2))</f>
        <v>4686.21</v>
      </c>
      <c r="F78" s="11">
        <f t="shared" si="2"/>
        <v>466700.06</v>
      </c>
    </row>
    <row r="79" spans="2:6">
      <c r="B79" s="12">
        <f>IF(B78&gt;=D6*12,"",B78+1)</f>
        <v>69</v>
      </c>
      <c r="C79" s="11">
        <f>IF(B79="","",IF(OR(B79=E6,D8&gt;ROUND((1+E5%)*F78,2)),ROUND((1+E5%)*F78,2),D8))</f>
        <v>26982</v>
      </c>
      <c r="D79" s="11">
        <f t="shared" si="3"/>
        <v>22509.46</v>
      </c>
      <c r="E79" s="11">
        <f>IF(B79="","",ROUND(E5%*F78,2))</f>
        <v>4472.54</v>
      </c>
      <c r="F79" s="11">
        <f t="shared" si="2"/>
        <v>444190.6</v>
      </c>
    </row>
    <row r="80" spans="2:6">
      <c r="B80" s="12">
        <f>IF(B79&gt;=D6*12,"",B79+1)</f>
        <v>70</v>
      </c>
      <c r="C80" s="11">
        <f>IF(B80="","",IF(OR(B80=E6,D8&gt;ROUND((1+E5%)*F79,2)),ROUND((1+E5%)*F79,2),D8))</f>
        <v>26982</v>
      </c>
      <c r="D80" s="11">
        <f t="shared" si="3"/>
        <v>22725.17</v>
      </c>
      <c r="E80" s="11">
        <f>IF(B80="","",ROUND(E5%*F79,2))</f>
        <v>4256.83</v>
      </c>
      <c r="F80" s="11">
        <f t="shared" si="2"/>
        <v>421465.43</v>
      </c>
    </row>
    <row r="81" spans="2:6">
      <c r="B81" s="12">
        <f>IF(B80&gt;=D6*12,"",B80+1)</f>
        <v>71</v>
      </c>
      <c r="C81" s="11">
        <f>IF(B81="","",IF(OR(B81=E6,D8&gt;ROUND((1+E5%)*F80,2)),ROUND((1+E5%)*F80,2),D8))</f>
        <v>26982</v>
      </c>
      <c r="D81" s="11">
        <f t="shared" si="3"/>
        <v>22942.959999999999</v>
      </c>
      <c r="E81" s="11">
        <f>IF(B81="","",ROUND(E5%*F80,2))</f>
        <v>4039.04</v>
      </c>
      <c r="F81" s="11">
        <f t="shared" si="2"/>
        <v>398522.47</v>
      </c>
    </row>
    <row r="82" spans="2:6">
      <c r="B82" s="12">
        <f>IF(B81&gt;=D6*12,"",B81+1)</f>
        <v>72</v>
      </c>
      <c r="C82" s="11">
        <f>IF(B82="","",IF(OR(B82=E6,D8&gt;ROUND((1+E5%)*F81,2)),ROUND((1+E5%)*F81,2),D8))</f>
        <v>26982</v>
      </c>
      <c r="D82" s="11">
        <f t="shared" si="3"/>
        <v>23162.83</v>
      </c>
      <c r="E82" s="11">
        <f>IF(B82="","",ROUND(E5%*F81,2))</f>
        <v>3819.17</v>
      </c>
      <c r="F82" s="11">
        <f t="shared" si="2"/>
        <v>375359.63999999996</v>
      </c>
    </row>
    <row r="83" spans="2:6">
      <c r="B83" s="12">
        <f>IF(B82&gt;=D6*12,"",B82+1)</f>
        <v>73</v>
      </c>
      <c r="C83" s="11">
        <f>IF(B83="","",IF(OR(B83=E6,D8&gt;ROUND((1+E5%)*F82,2)),ROUND((1+E5%)*F82,2),D8))</f>
        <v>26982</v>
      </c>
      <c r="D83" s="11">
        <f t="shared" si="3"/>
        <v>23384.799999999999</v>
      </c>
      <c r="E83" s="11">
        <f>IF(B83="","",ROUND(E5%*F82,2))</f>
        <v>3597.2</v>
      </c>
      <c r="F83" s="11">
        <f t="shared" si="2"/>
        <v>351974.83999999997</v>
      </c>
    </row>
    <row r="84" spans="2:6">
      <c r="B84" s="12">
        <f>IF(B83&gt;=D6*12,"",B83+1)</f>
        <v>74</v>
      </c>
      <c r="C84" s="11">
        <f>IF(B84="","",IF(OR(B84=E6,D8&gt;ROUND((1+E5%)*F83,2)),ROUND((1+E5%)*F83,2),D8))</f>
        <v>26982</v>
      </c>
      <c r="D84" s="11">
        <f t="shared" si="3"/>
        <v>23608.91</v>
      </c>
      <c r="E84" s="11">
        <f>IF(B84="","",ROUND(E5%*F83,2))</f>
        <v>3373.09</v>
      </c>
      <c r="F84" s="11">
        <f t="shared" si="2"/>
        <v>328365.93</v>
      </c>
    </row>
    <row r="85" spans="2:6">
      <c r="B85" s="12">
        <f>IF(B84&gt;=D6*12,"",B84+1)</f>
        <v>75</v>
      </c>
      <c r="C85" s="11">
        <f>IF(B85="","",IF(OR(B85=E6,D8&gt;ROUND((1+E5%)*F84,2)),ROUND((1+E5%)*F84,2),D8))</f>
        <v>26982</v>
      </c>
      <c r="D85" s="11">
        <f t="shared" si="3"/>
        <v>23835.16</v>
      </c>
      <c r="E85" s="11">
        <f>IF(B85="","",ROUND(E5%*F84,2))</f>
        <v>3146.84</v>
      </c>
      <c r="F85" s="11">
        <f t="shared" si="2"/>
        <v>304530.77</v>
      </c>
    </row>
    <row r="86" spans="2:6">
      <c r="B86" s="12">
        <f>IF(B85&gt;=D6*12,"",B85+1)</f>
        <v>76</v>
      </c>
      <c r="C86" s="11">
        <f>IF(B86="","",IF(OR(B86=E6,D8&gt;ROUND((1+E5%)*F85,2)),ROUND((1+E5%)*F85,2),D8))</f>
        <v>26982</v>
      </c>
      <c r="D86" s="11">
        <f t="shared" si="3"/>
        <v>24063.58</v>
      </c>
      <c r="E86" s="11">
        <f>IF(B86="","",ROUND(E5%*F85,2))</f>
        <v>2918.42</v>
      </c>
      <c r="F86" s="11">
        <f t="shared" si="2"/>
        <v>280467.19</v>
      </c>
    </row>
    <row r="87" spans="2:6">
      <c r="B87" s="12">
        <f>IF(B86&gt;=D6*12,"",B86+1)</f>
        <v>77</v>
      </c>
      <c r="C87" s="11">
        <f>IF(B87="","",IF(OR(B87=E6,D8&gt;ROUND((1+E5%)*F86,2)),ROUND((1+E5%)*F86,2),D8))</f>
        <v>26982</v>
      </c>
      <c r="D87" s="11">
        <f t="shared" si="3"/>
        <v>24294.19</v>
      </c>
      <c r="E87" s="11">
        <f>IF(B87="","",ROUND(E5%*F86,2))</f>
        <v>2687.81</v>
      </c>
      <c r="F87" s="11">
        <f t="shared" si="2"/>
        <v>256173</v>
      </c>
    </row>
    <row r="88" spans="2:6">
      <c r="B88" s="12">
        <f>IF(B87&gt;=D6*12,"",B87+1)</f>
        <v>78</v>
      </c>
      <c r="C88" s="11">
        <f>IF(B88="","",IF(OR(B88=E6,D8&gt;ROUND((1+E5%)*F87,2)),ROUND((1+E5%)*F87,2),D8))</f>
        <v>26982</v>
      </c>
      <c r="D88" s="11">
        <f t="shared" si="3"/>
        <v>24527.010000000002</v>
      </c>
      <c r="E88" s="11">
        <f>IF(B88="","",ROUND(E5%*F87,2))</f>
        <v>2454.9899999999998</v>
      </c>
      <c r="F88" s="11">
        <f t="shared" si="2"/>
        <v>231645.99</v>
      </c>
    </row>
    <row r="89" spans="2:6">
      <c r="B89" s="12">
        <f>IF(B88&gt;=D6*12,"",B88+1)</f>
        <v>79</v>
      </c>
      <c r="C89" s="11">
        <f>IF(B89="","",IF(OR(B89=E6,D8&gt;ROUND((1+E5%)*F88,2)),ROUND((1+E5%)*F88,2),D8))</f>
        <v>26982</v>
      </c>
      <c r="D89" s="11">
        <f t="shared" si="3"/>
        <v>24762.06</v>
      </c>
      <c r="E89" s="11">
        <f>IF(B89="","",ROUND(E5%*F88,2))</f>
        <v>2219.94</v>
      </c>
      <c r="F89" s="11">
        <f t="shared" si="2"/>
        <v>206883.93</v>
      </c>
    </row>
    <row r="90" spans="2:6">
      <c r="B90" s="12">
        <f>IF(B89&gt;=D6*12,"",B89+1)</f>
        <v>80</v>
      </c>
      <c r="C90" s="11">
        <f>IF(B90="","",IF(OR(B90=E6,D8&gt;ROUND((1+E5%)*F89,2)),ROUND((1+E5%)*F89,2),D8))</f>
        <v>26982</v>
      </c>
      <c r="D90" s="11">
        <f t="shared" si="3"/>
        <v>24999.360000000001</v>
      </c>
      <c r="E90" s="11">
        <f>IF(B90="","",ROUND(E5%*F89,2))</f>
        <v>1982.64</v>
      </c>
      <c r="F90" s="11">
        <f t="shared" si="2"/>
        <v>181884.57</v>
      </c>
    </row>
    <row r="91" spans="2:6">
      <c r="B91" s="12">
        <f>IF(B90&gt;=D6*12,"",B90+1)</f>
        <v>81</v>
      </c>
      <c r="C91" s="11">
        <f>IF(B91="","",IF(OR(B91=E6,D8&gt;ROUND((1+E5%)*F90,2)),ROUND((1+E5%)*F90,2),D8))</f>
        <v>26982</v>
      </c>
      <c r="D91" s="11">
        <f t="shared" si="3"/>
        <v>25238.94</v>
      </c>
      <c r="E91" s="11">
        <f>IF(B91="","",ROUND(E5%*F90,2))</f>
        <v>1743.06</v>
      </c>
      <c r="F91" s="11">
        <f t="shared" si="2"/>
        <v>156645.63</v>
      </c>
    </row>
    <row r="92" spans="2:6">
      <c r="B92" s="12">
        <f>IF(B91&gt;=D6*12,"",B91+1)</f>
        <v>82</v>
      </c>
      <c r="C92" s="11">
        <f>IF(B92="","",IF(OR(B92=E6,D8&gt;ROUND((1+E5%)*F91,2)),ROUND((1+E5%)*F91,2),D8))</f>
        <v>26982</v>
      </c>
      <c r="D92" s="11">
        <f t="shared" si="3"/>
        <v>25480.81</v>
      </c>
      <c r="E92" s="11">
        <f>IF(B92="","",ROUND(E5%*F91,2))</f>
        <v>1501.19</v>
      </c>
      <c r="F92" s="11">
        <f t="shared" si="2"/>
        <v>131164.82</v>
      </c>
    </row>
    <row r="93" spans="2:6">
      <c r="B93" s="12">
        <f>IF(B92&gt;=D7*12,"",B92+1)</f>
        <v>83</v>
      </c>
      <c r="C93" s="11">
        <f>IF(B93="","",IF(OR(B93=E6,D8&gt;ROUND((1+E5%)*F92,2)),ROUND((1+E5%)*F92,2),D8))</f>
        <v>26982</v>
      </c>
      <c r="D93" s="11">
        <f>IF(B93="","",C93-E93)</f>
        <v>25725</v>
      </c>
      <c r="E93" s="11">
        <f>IF(B93="","",ROUND(E5%*F92,2))</f>
        <v>1257</v>
      </c>
      <c r="F93" s="11">
        <f>IF(B93="","",F92-D93)</f>
        <v>105439.82</v>
      </c>
    </row>
    <row r="94" spans="2:6">
      <c r="B94" s="12">
        <f>IF(B93&gt;=D8*12,"",B93+1)</f>
        <v>84</v>
      </c>
      <c r="C94" s="11">
        <f>IF(B94="","",IF(OR(B94=E6,D8&gt;ROUND((1+E5%)*F93,2)),ROUND((1+E5%)*F93,2),D8))</f>
        <v>106450.28</v>
      </c>
      <c r="D94" s="11">
        <f>IF(B94="","",C94-E94)</f>
        <v>105439.81999999999</v>
      </c>
      <c r="E94" s="11">
        <f>IF(B94="","",ROUND(E5%*F93,2))</f>
        <v>1010.46</v>
      </c>
      <c r="F94" s="11">
        <f>IF(B94="","",F93-D94)</f>
        <v>1.4551915228366852E-11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G17" sqref="G17"/>
    </sheetView>
  </sheetViews>
  <sheetFormatPr defaultRowHeight="14.4"/>
  <cols>
    <col min="2" max="2" width="17.88671875" customWidth="1"/>
    <col min="3" max="3" width="12.33203125" customWidth="1"/>
    <col min="4" max="4" width="12.21875" customWidth="1"/>
    <col min="5" max="5" width="14.77734375" customWidth="1"/>
    <col min="6" max="6" width="13.6640625" customWidth="1"/>
    <col min="7" max="7" width="17.44140625" customWidth="1"/>
  </cols>
  <sheetData>
    <row r="1" spans="1:9">
      <c r="A1" s="13"/>
      <c r="B1" s="13"/>
      <c r="C1" s="13"/>
      <c r="D1" s="29" t="s">
        <v>208</v>
      </c>
      <c r="E1" s="13"/>
      <c r="F1" s="13"/>
      <c r="G1" s="13"/>
      <c r="H1" s="1"/>
      <c r="I1" s="1"/>
    </row>
    <row r="2" spans="1:9">
      <c r="A2" s="13"/>
      <c r="B2" s="13"/>
      <c r="C2" s="13" t="s">
        <v>202</v>
      </c>
      <c r="D2" s="13"/>
      <c r="E2" s="13" t="s">
        <v>203</v>
      </c>
      <c r="F2" s="13"/>
      <c r="G2" s="13"/>
      <c r="H2" s="1" t="s">
        <v>276</v>
      </c>
      <c r="I2" s="1"/>
    </row>
    <row r="3" spans="1:9">
      <c r="A3" s="13" t="s">
        <v>204</v>
      </c>
      <c r="B3" s="13" t="s">
        <v>205</v>
      </c>
      <c r="C3" s="13" t="s">
        <v>206</v>
      </c>
      <c r="D3" s="13" t="s">
        <v>207</v>
      </c>
      <c r="E3" s="13" t="s">
        <v>205</v>
      </c>
      <c r="F3" s="13" t="s">
        <v>206</v>
      </c>
      <c r="G3" s="13" t="s">
        <v>207</v>
      </c>
      <c r="H3" s="1"/>
      <c r="I3" s="1"/>
    </row>
    <row r="4" spans="1:9">
      <c r="A4" s="13">
        <v>1</v>
      </c>
      <c r="B4" s="9">
        <f>Investment!C7+Investment!C8+Investment!C9+Investment!C10</f>
        <v>577500</v>
      </c>
      <c r="C4" s="9">
        <f>B4*'Techno Economic Parameters'!C77%</f>
        <v>57750</v>
      </c>
      <c r="D4" s="9">
        <f t="shared" ref="D4:D10" si="0">B4-C4</f>
        <v>519750</v>
      </c>
      <c r="E4" s="9">
        <f>Investment!C11+Investment!C12+Investment!C13+Investment!C14+Investment!C15+Investment!C16+Investment!C17+Investment!C18+Investment!C19</f>
        <v>105000</v>
      </c>
      <c r="F4" s="9">
        <f>E4*'Techno Economic Parameters'!C78%</f>
        <v>15750</v>
      </c>
      <c r="G4" s="9">
        <f t="shared" ref="G4:G10" si="1">E4-F4</f>
        <v>89250</v>
      </c>
    </row>
    <row r="5" spans="1:9">
      <c r="A5" s="13">
        <v>2</v>
      </c>
      <c r="B5" s="9">
        <f t="shared" ref="B5:B10" si="2">D4</f>
        <v>519750</v>
      </c>
      <c r="C5" s="9">
        <f>B5*'Techno Economic Parameters'!C77%</f>
        <v>51975</v>
      </c>
      <c r="D5" s="9">
        <f t="shared" si="0"/>
        <v>467775</v>
      </c>
      <c r="E5" s="9">
        <f t="shared" ref="E5:E10" si="3">G4</f>
        <v>89250</v>
      </c>
      <c r="F5" s="9">
        <f>E5*'Techno Economic Parameters'!C78%</f>
        <v>13387.5</v>
      </c>
      <c r="G5" s="9">
        <f t="shared" si="1"/>
        <v>75862.5</v>
      </c>
    </row>
    <row r="6" spans="1:9">
      <c r="A6" s="13">
        <v>3</v>
      </c>
      <c r="B6" s="9">
        <f t="shared" si="2"/>
        <v>467775</v>
      </c>
      <c r="C6" s="9">
        <f>B6*'Techno Economic Parameters'!C77%</f>
        <v>46777.5</v>
      </c>
      <c r="D6" s="9">
        <f t="shared" si="0"/>
        <v>420997.5</v>
      </c>
      <c r="E6" s="9">
        <f t="shared" si="3"/>
        <v>75862.5</v>
      </c>
      <c r="F6" s="9">
        <f>E6*'Techno Economic Parameters'!C78%</f>
        <v>11379.375</v>
      </c>
      <c r="G6" s="9">
        <f t="shared" si="1"/>
        <v>64483.125</v>
      </c>
    </row>
    <row r="7" spans="1:9">
      <c r="A7" s="13">
        <v>4</v>
      </c>
      <c r="B7" s="9">
        <f t="shared" si="2"/>
        <v>420997.5</v>
      </c>
      <c r="C7" s="9">
        <f>B7*'Techno Economic Parameters'!C77%</f>
        <v>42099.75</v>
      </c>
      <c r="D7" s="9">
        <f t="shared" si="0"/>
        <v>378897.75</v>
      </c>
      <c r="E7" s="9">
        <f t="shared" si="3"/>
        <v>64483.125</v>
      </c>
      <c r="F7" s="9">
        <f>E7*'Techno Economic Parameters'!C78%</f>
        <v>9672.46875</v>
      </c>
      <c r="G7" s="9">
        <f t="shared" si="1"/>
        <v>54810.65625</v>
      </c>
    </row>
    <row r="8" spans="1:9">
      <c r="A8" s="13">
        <v>5</v>
      </c>
      <c r="B8" s="9">
        <f t="shared" si="2"/>
        <v>378897.75</v>
      </c>
      <c r="C8" s="9">
        <f>B8*'Techno Economic Parameters'!C77%</f>
        <v>37889.775000000001</v>
      </c>
      <c r="D8" s="9">
        <f t="shared" si="0"/>
        <v>341007.97499999998</v>
      </c>
      <c r="E8" s="9">
        <f t="shared" si="3"/>
        <v>54810.65625</v>
      </c>
      <c r="F8" s="9">
        <f>E8*'Techno Economic Parameters'!C78%</f>
        <v>8221.5984374999989</v>
      </c>
      <c r="G8" s="9">
        <f t="shared" si="1"/>
        <v>46589.057812500003</v>
      </c>
    </row>
    <row r="9" spans="1:9">
      <c r="A9" s="13">
        <v>6</v>
      </c>
      <c r="B9" s="9">
        <f t="shared" si="2"/>
        <v>341007.97499999998</v>
      </c>
      <c r="C9" s="9">
        <f>B9*'Techno Economic Parameters'!C77%</f>
        <v>34100.797500000001</v>
      </c>
      <c r="D9" s="9">
        <f t="shared" si="0"/>
        <v>306907.17749999999</v>
      </c>
      <c r="E9" s="9">
        <f t="shared" si="3"/>
        <v>46589.057812500003</v>
      </c>
      <c r="F9" s="9">
        <f>E9*'Techno Economic Parameters'!C78%</f>
        <v>6988.3586718750003</v>
      </c>
      <c r="G9" s="9">
        <f t="shared" si="1"/>
        <v>39600.699140625002</v>
      </c>
    </row>
    <row r="10" spans="1:9">
      <c r="A10" s="13">
        <v>7</v>
      </c>
      <c r="B10" s="9">
        <f t="shared" si="2"/>
        <v>306907.17749999999</v>
      </c>
      <c r="C10" s="9">
        <f>B10*'Techno Economic Parameters'!C77%</f>
        <v>30690.71775</v>
      </c>
      <c r="D10" s="9">
        <f t="shared" si="0"/>
        <v>276216.45974999998</v>
      </c>
      <c r="E10" s="9">
        <f t="shared" si="3"/>
        <v>39600.699140625002</v>
      </c>
      <c r="F10" s="9">
        <f>E10*'Techno Economic Parameters'!C78%</f>
        <v>5940.1048710937503</v>
      </c>
      <c r="G10" s="9">
        <f t="shared" si="1"/>
        <v>33660.594269531255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I38"/>
  <sheetViews>
    <sheetView workbookViewId="0">
      <selection activeCell="G42" sqref="G42"/>
    </sheetView>
  </sheetViews>
  <sheetFormatPr defaultRowHeight="14.4"/>
  <cols>
    <col min="3" max="3" width="12.88671875" customWidth="1"/>
    <col min="4" max="4" width="18.6640625" customWidth="1"/>
    <col min="5" max="5" width="13.6640625" customWidth="1"/>
    <col min="6" max="6" width="17.88671875" customWidth="1"/>
    <col min="7" max="7" width="13.88671875" customWidth="1"/>
  </cols>
  <sheetData>
    <row r="2" spans="2:8">
      <c r="D2" s="25" t="s">
        <v>209</v>
      </c>
    </row>
    <row r="3" spans="2:8">
      <c r="B3" s="27" t="s">
        <v>210</v>
      </c>
    </row>
    <row r="5" spans="2:8" s="1" customFormat="1">
      <c r="B5" s="13" t="s">
        <v>204</v>
      </c>
      <c r="C5" s="13" t="s">
        <v>211</v>
      </c>
      <c r="D5" s="13" t="s">
        <v>212</v>
      </c>
      <c r="E5" s="13" t="s">
        <v>213</v>
      </c>
      <c r="F5" s="13" t="s">
        <v>214</v>
      </c>
      <c r="G5" s="13" t="s">
        <v>215</v>
      </c>
    </row>
    <row r="6" spans="2:8">
      <c r="B6" s="12">
        <v>1</v>
      </c>
      <c r="C6" s="9">
        <f>'Cash flow'!C5</f>
        <v>656198.28</v>
      </c>
      <c r="D6" s="9">
        <f>'Cash flow'!C6</f>
        <v>1105600</v>
      </c>
      <c r="E6" s="18">
        <f>1/((1+'Techno Economic Parameters'!$C$53%)^'Financial Analysis'!B6)</f>
        <v>0.89686098654708524</v>
      </c>
      <c r="F6" s="9">
        <f>C6*E6</f>
        <v>588518.63677130046</v>
      </c>
      <c r="G6" s="9">
        <f>E6*D6</f>
        <v>991569.50672645739</v>
      </c>
    </row>
    <row r="7" spans="2:8">
      <c r="B7" s="12">
        <v>2</v>
      </c>
      <c r="C7" s="9">
        <f>'Cash flow'!D5</f>
        <v>675108.02</v>
      </c>
      <c r="D7" s="9">
        <f>'Cash flow'!D6</f>
        <v>1372000</v>
      </c>
      <c r="E7" s="18">
        <f>1/((1+'Techno Economic Parameters'!$C$53%)^'Financial Analysis'!B7)</f>
        <v>0.80435962919021098</v>
      </c>
      <c r="F7" s="9">
        <f t="shared" ref="F7:F12" si="0">C7*E7</f>
        <v>543029.63663053757</v>
      </c>
      <c r="G7" s="9">
        <f t="shared" ref="G7:G12" si="1">E7*D7</f>
        <v>1103581.4112489694</v>
      </c>
      <c r="H7" s="17"/>
    </row>
    <row r="8" spans="2:8">
      <c r="B8" s="12">
        <v>3</v>
      </c>
      <c r="C8" s="9">
        <f>'Cash flow'!E5</f>
        <v>654863.06999999995</v>
      </c>
      <c r="D8" s="9">
        <f>'Cash flow'!E6</f>
        <v>1372000</v>
      </c>
      <c r="E8" s="18">
        <f>1/((1+'Techno Economic Parameters'!$C$53%)^'Financial Analysis'!B8)</f>
        <v>0.72139877057418023</v>
      </c>
      <c r="F8" s="9">
        <f t="shared" si="0"/>
        <v>472417.41359243327</v>
      </c>
      <c r="G8" s="9">
        <f t="shared" si="1"/>
        <v>989759.11322777532</v>
      </c>
    </row>
    <row r="9" spans="2:8">
      <c r="B9" s="12">
        <v>4</v>
      </c>
      <c r="C9" s="9">
        <f>'Cash flow'!F5</f>
        <v>632163.21</v>
      </c>
      <c r="D9" s="9">
        <f>'Cash flow'!F6</f>
        <v>1372000</v>
      </c>
      <c r="E9" s="18">
        <f>1/((1+'Techno Economic Parameters'!$C$53%)^'Financial Analysis'!B9)</f>
        <v>0.64699441307101357</v>
      </c>
      <c r="F9" s="9">
        <f t="shared" si="0"/>
        <v>409006.06501903787</v>
      </c>
      <c r="G9" s="9">
        <f t="shared" si="1"/>
        <v>887676.33473343065</v>
      </c>
    </row>
    <row r="10" spans="2:8">
      <c r="B10" s="12">
        <v>5</v>
      </c>
      <c r="C10" s="9">
        <f>'Cash flow'!G5</f>
        <v>606710.78</v>
      </c>
      <c r="D10" s="9">
        <f>'Cash flow'!G6</f>
        <v>1372000</v>
      </c>
      <c r="E10" s="18">
        <f>1/((1+'Techno Economic Parameters'!$C$53%)^'Financial Analysis'!B10)</f>
        <v>0.58026404759732153</v>
      </c>
      <c r="F10" s="9">
        <f t="shared" si="0"/>
        <v>352052.45292372809</v>
      </c>
      <c r="G10" s="9">
        <f t="shared" si="1"/>
        <v>796122.27330352517</v>
      </c>
    </row>
    <row r="11" spans="2:8">
      <c r="B11" s="12">
        <v>6</v>
      </c>
      <c r="C11" s="9">
        <f>'Cash flow'!H5</f>
        <v>578171.99</v>
      </c>
      <c r="D11" s="9">
        <f>'Cash flow'!H7</f>
        <v>793828.01</v>
      </c>
      <c r="E11" s="18">
        <f>1/((1+'Techno Economic Parameters'!$C$53%)^'Financial Analysis'!B11)</f>
        <v>0.52041618618593866</v>
      </c>
      <c r="F11" s="9">
        <f t="shared" si="0"/>
        <v>300890.06199533463</v>
      </c>
      <c r="G11" s="9">
        <f t="shared" si="1"/>
        <v>413120.94545177318</v>
      </c>
    </row>
    <row r="12" spans="2:8">
      <c r="B12" s="12">
        <v>7</v>
      </c>
      <c r="C12" s="9">
        <f>'Cash flow'!I5</f>
        <v>546172.64</v>
      </c>
      <c r="D12" s="9">
        <f>'Cash flow'!I6</f>
        <v>1372000</v>
      </c>
      <c r="E12" s="18">
        <f>1/((1+'Techno Economic Parameters'!$C$53%)^'Financial Analysis'!B12)</f>
        <v>0.46674097415779248</v>
      </c>
      <c r="F12" s="9">
        <f t="shared" si="0"/>
        <v>254921.15005193331</v>
      </c>
      <c r="G12" s="9">
        <f t="shared" si="1"/>
        <v>640368.61654449126</v>
      </c>
    </row>
    <row r="14" spans="2:8">
      <c r="E14" s="1" t="s">
        <v>150</v>
      </c>
      <c r="F14" s="21">
        <f>SUM(F6:F13)</f>
        <v>2920835.4169843048</v>
      </c>
      <c r="G14" s="21">
        <f>SUM(G6:G13)</f>
        <v>5822198.2012364222</v>
      </c>
    </row>
    <row r="15" spans="2:8">
      <c r="E15" s="30" t="s">
        <v>217</v>
      </c>
      <c r="F15" s="31">
        <f>G14-F14</f>
        <v>2901362.7842521174</v>
      </c>
      <c r="G15" s="13"/>
    </row>
    <row r="16" spans="2:8">
      <c r="E16" s="30" t="s">
        <v>16</v>
      </c>
      <c r="F16" s="32">
        <f>G14/F14</f>
        <v>1.9933331975437725</v>
      </c>
      <c r="G16" s="13"/>
    </row>
    <row r="17" spans="2:9">
      <c r="B17" s="27" t="s">
        <v>224</v>
      </c>
      <c r="E17" s="1"/>
      <c r="F17" s="20"/>
      <c r="G17" s="1"/>
    </row>
    <row r="18" spans="2:9" s="1" customFormat="1">
      <c r="B18" s="13" t="s">
        <v>204</v>
      </c>
      <c r="C18" s="13" t="s">
        <v>218</v>
      </c>
      <c r="D18" s="13" t="s">
        <v>220</v>
      </c>
      <c r="E18" s="13" t="s">
        <v>219</v>
      </c>
      <c r="F18" s="13" t="s">
        <v>221</v>
      </c>
    </row>
    <row r="19" spans="2:9">
      <c r="B19" s="12">
        <v>1</v>
      </c>
      <c r="C19" s="9">
        <f>D6-C6</f>
        <v>449401.72</v>
      </c>
      <c r="D19" s="9">
        <f t="shared" ref="D19:D25" si="2">C19*E6</f>
        <v>403050.86995515693</v>
      </c>
      <c r="E19" s="18">
        <f>1/(((1+(('Techno Economic Parameters'!$C$53+20)%))^'Financial Analysis'!B6))</f>
        <v>0.76045627376425862</v>
      </c>
      <c r="F19" s="9">
        <f>C19*E19</f>
        <v>341750.35741444869</v>
      </c>
    </row>
    <row r="20" spans="2:9">
      <c r="B20" s="12">
        <v>2</v>
      </c>
      <c r="C20" s="9">
        <f t="shared" ref="C20:C25" si="3">D7-C7</f>
        <v>696891.98</v>
      </c>
      <c r="D20" s="9">
        <f t="shared" si="2"/>
        <v>560551.77461843193</v>
      </c>
      <c r="E20" s="18">
        <f>1/(((1+(('Techno Economic Parameters'!$C$53+20)%))^'Financial Analysis'!B7))</f>
        <v>0.57829374430742098</v>
      </c>
      <c r="F20" s="9">
        <f t="shared" ref="F20:F25" si="4">C20*E20</f>
        <v>403008.2724920123</v>
      </c>
    </row>
    <row r="21" spans="2:9">
      <c r="B21" s="12">
        <v>3</v>
      </c>
      <c r="C21" s="9">
        <f t="shared" si="3"/>
        <v>717136.93</v>
      </c>
      <c r="D21" s="9">
        <f t="shared" si="2"/>
        <v>517341.699635342</v>
      </c>
      <c r="E21" s="18">
        <f>1/(((1+(('Techno Economic Parameters'!$C$53+20)%))^'Financial Analysis'!B8))</f>
        <v>0.43976710593720231</v>
      </c>
      <c r="F21" s="9">
        <f t="shared" si="4"/>
        <v>315373.23226679006</v>
      </c>
    </row>
    <row r="22" spans="2:9">
      <c r="B22" s="12">
        <v>4</v>
      </c>
      <c r="C22" s="9">
        <f t="shared" si="3"/>
        <v>739836.79</v>
      </c>
      <c r="D22" s="9">
        <f t="shared" si="2"/>
        <v>478670.26971439272</v>
      </c>
      <c r="E22" s="18">
        <f>1/(((1+(('Techno Economic Parameters'!$C$53+20)%))^'Financial Analysis'!B9))</f>
        <v>0.33442365470509688</v>
      </c>
      <c r="F22" s="9">
        <f t="shared" si="4"/>
        <v>247418.92319708728</v>
      </c>
    </row>
    <row r="23" spans="2:9">
      <c r="B23" s="12">
        <v>5</v>
      </c>
      <c r="C23" s="9">
        <f t="shared" si="3"/>
        <v>765289.22</v>
      </c>
      <c r="D23" s="9">
        <f t="shared" si="2"/>
        <v>444069.82037979708</v>
      </c>
      <c r="E23" s="18">
        <f>1/(((1+(('Techno Economic Parameters'!$C$53+20)%))^'Financial Analysis'!B10))</f>
        <v>0.25431456631566302</v>
      </c>
      <c r="F23" s="9">
        <f t="shared" si="4"/>
        <v>194624.19609035202</v>
      </c>
    </row>
    <row r="24" spans="2:9">
      <c r="B24" s="12">
        <v>6</v>
      </c>
      <c r="C24" s="9">
        <f t="shared" si="3"/>
        <v>215656.02000000002</v>
      </c>
      <c r="D24" s="9">
        <f t="shared" si="2"/>
        <v>112230.88345643852</v>
      </c>
      <c r="E24" s="18">
        <f>1/(((1+(('Techno Economic Parameters'!$C$53+20)%))^'Financial Analysis'!B11))</f>
        <v>0.19339510746438254</v>
      </c>
      <c r="F24" s="9">
        <f t="shared" si="4"/>
        <v>41706.819163241038</v>
      </c>
    </row>
    <row r="25" spans="2:9">
      <c r="B25" s="12">
        <v>7</v>
      </c>
      <c r="C25" s="9">
        <f t="shared" si="3"/>
        <v>825827.36</v>
      </c>
      <c r="D25" s="9">
        <f t="shared" si="2"/>
        <v>385447.46649255796</v>
      </c>
      <c r="E25" s="18">
        <f>1/(((1+(('Techno Economic Parameters'!$C$53+20)%))^'Financial Analysis'!B12))</f>
        <v>0.14706852278660271</v>
      </c>
      <c r="F25" s="9">
        <f t="shared" si="4"/>
        <v>121453.20991195996</v>
      </c>
    </row>
    <row r="27" spans="2:9">
      <c r="C27" s="12" t="s">
        <v>150</v>
      </c>
      <c r="D27" s="9">
        <f>SUM(D19:D26)</f>
        <v>2901362.7842521169</v>
      </c>
      <c r="E27" s="12"/>
      <c r="F27" s="9">
        <f>SUM(F19:F26)</f>
        <v>1665335.0105358914</v>
      </c>
    </row>
    <row r="28" spans="2:9">
      <c r="D28" s="30" t="s">
        <v>222</v>
      </c>
      <c r="E28" s="33">
        <f>('Techno Economic Parameters'!C53+(((('Techno Economic Parameters'!C53+20)-'Techno Economic Parameters'!C53)*(('Financial Analysis'!D27/('Financial Analysis'!D27+'Financial Analysis'!F27))))))</f>
        <v>24.206611712136741</v>
      </c>
      <c r="F28" s="1" t="s">
        <v>223</v>
      </c>
    </row>
    <row r="29" spans="2:9">
      <c r="B29" s="35" t="s">
        <v>225</v>
      </c>
      <c r="C29" s="12"/>
      <c r="D29" s="12"/>
      <c r="E29" s="12"/>
    </row>
    <row r="30" spans="2:9">
      <c r="B30" s="13" t="s">
        <v>204</v>
      </c>
      <c r="C30" s="13" t="s">
        <v>179</v>
      </c>
      <c r="D30" s="13" t="s">
        <v>226</v>
      </c>
      <c r="E30" s="13" t="s">
        <v>227</v>
      </c>
    </row>
    <row r="31" spans="2:9">
      <c r="B31" s="12">
        <v>1</v>
      </c>
      <c r="C31" s="9">
        <f>'Cash flow'!C15</f>
        <v>697100</v>
      </c>
      <c r="D31" s="9">
        <f>SUM(Repayment!D11:D22)+'Expenditure Income '!$C$20</f>
        <v>287455.70999999996</v>
      </c>
      <c r="E31" s="19">
        <f>C31/D31</f>
        <v>2.4250692393621267</v>
      </c>
      <c r="F31" s="25" t="s">
        <v>277</v>
      </c>
      <c r="G31" s="25"/>
      <c r="H31" s="25"/>
      <c r="I31" s="25"/>
    </row>
    <row r="32" spans="2:9">
      <c r="B32" s="12">
        <v>2</v>
      </c>
      <c r="C32" s="9">
        <f>'Cash flow'!D15</f>
        <v>919082.5</v>
      </c>
      <c r="D32" s="9">
        <f>SUM(Repayment!D23:D34)+'Expenditure Income '!$D$20</f>
        <v>323784</v>
      </c>
      <c r="E32" s="19">
        <f t="shared" ref="E32:E37" si="5">C32/D32</f>
        <v>2.8385667605564202</v>
      </c>
      <c r="F32" s="30" t="s">
        <v>217</v>
      </c>
      <c r="G32" s="30" t="s">
        <v>278</v>
      </c>
      <c r="H32" s="26"/>
      <c r="I32" s="26"/>
    </row>
    <row r="33" spans="2:9">
      <c r="B33" s="12">
        <v>3</v>
      </c>
      <c r="C33" s="9">
        <f>'Cash flow'!E15</f>
        <v>911876.875</v>
      </c>
      <c r="D33" s="9">
        <f>SUM(Repayment!D35:D46)+'Expenditure Income '!$E$20</f>
        <v>323784</v>
      </c>
      <c r="E33" s="19">
        <f t="shared" si="5"/>
        <v>2.816312340943345</v>
      </c>
      <c r="F33" s="30" t="s">
        <v>16</v>
      </c>
      <c r="G33" s="30" t="s">
        <v>279</v>
      </c>
      <c r="H33" s="26"/>
      <c r="I33" s="26"/>
    </row>
    <row r="34" spans="2:9">
      <c r="B34" s="12">
        <v>4</v>
      </c>
      <c r="C34" s="9">
        <f>'Cash flow'!F15</f>
        <v>905492.21875</v>
      </c>
      <c r="D34" s="9">
        <f>SUM(Repayment!D47:D58)+'Expenditure Income '!$F$20</f>
        <v>323784</v>
      </c>
      <c r="E34" s="19">
        <f t="shared" si="5"/>
        <v>2.7965934658599561</v>
      </c>
      <c r="F34" s="30" t="s">
        <v>222</v>
      </c>
      <c r="G34" s="30" t="s">
        <v>280</v>
      </c>
      <c r="H34" s="26"/>
      <c r="I34" s="26"/>
    </row>
    <row r="35" spans="2:9">
      <c r="B35" s="12">
        <v>5</v>
      </c>
      <c r="C35" s="9">
        <f>'Cash flow'!G15</f>
        <v>899831.37343749998</v>
      </c>
      <c r="D35" s="9">
        <f>SUM(Repayment!D59:D70)+'Expenditure Income '!$G$20</f>
        <v>323784.00000000006</v>
      </c>
      <c r="E35" s="19">
        <f t="shared" si="5"/>
        <v>2.7791100654680276</v>
      </c>
      <c r="F35" s="30" t="s">
        <v>14</v>
      </c>
      <c r="G35" s="30" t="s">
        <v>281</v>
      </c>
      <c r="H35" s="26"/>
      <c r="I35" s="26"/>
    </row>
    <row r="36" spans="2:9">
      <c r="B36" s="12">
        <v>6</v>
      </c>
      <c r="C36" s="9">
        <f>'Cash flow'!H15</f>
        <v>894809.15617187507</v>
      </c>
      <c r="D36" s="9">
        <f>SUM(Repayment!D71:D82)+'Expenditure Income '!$H$20</f>
        <v>323784</v>
      </c>
      <c r="E36" s="19">
        <f t="shared" si="5"/>
        <v>2.763599054220947</v>
      </c>
    </row>
    <row r="37" spans="2:9">
      <c r="B37" s="12">
        <v>7</v>
      </c>
      <c r="C37" s="9">
        <f>'Cash flow'!I15</f>
        <v>890350.82262109371</v>
      </c>
      <c r="D37" s="9">
        <f>SUM(Repayment!D83:D94)+'Expenditure Income '!$I$20</f>
        <v>403252.28</v>
      </c>
      <c r="E37" s="19">
        <f t="shared" si="5"/>
        <v>2.2079250801039332</v>
      </c>
    </row>
    <row r="38" spans="2:9" s="1" customFormat="1">
      <c r="B38" s="13"/>
      <c r="C38" s="13"/>
      <c r="D38" s="34" t="s">
        <v>228</v>
      </c>
      <c r="E38" s="32">
        <f>SUM(E31:E37)/'Techno Economic Parameters'!C54</f>
        <v>2.6610251437878221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page</vt:lpstr>
      <vt:lpstr>Project at a glance</vt:lpstr>
      <vt:lpstr>Techno Economic Parameters</vt:lpstr>
      <vt:lpstr>Investment</vt:lpstr>
      <vt:lpstr>Production Chart</vt:lpstr>
      <vt:lpstr>Expenditure Income </vt:lpstr>
      <vt:lpstr>Cash flow</vt:lpstr>
      <vt:lpstr>Repayment</vt:lpstr>
      <vt:lpstr>Depreciation</vt:lpstr>
      <vt:lpstr>Financial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2026-06-05T06:48:21Z</dcterms:created>
  <dcterms:modified xsi:type="dcterms:W3CDTF">2026-06-05T14:31:06Z</dcterms:modified>
</cp:coreProperties>
</file>